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V\Desktop\SEM - 4\SEM - 4 BR\"/>
    </mc:Choice>
  </mc:AlternateContent>
  <xr:revisionPtr revIDLastSave="0" documentId="13_ncr:1_{D07D8AB1-CB73-4D86-BA26-AF2991CDEBD5}" xr6:coauthVersionLast="47" xr6:coauthVersionMax="47" xr10:uidLastSave="{00000000-0000-0000-0000-000000000000}"/>
  <bookViews>
    <workbookView xWindow="-108" yWindow="-108" windowWidth="23256" windowHeight="12456" xr2:uid="{8F863B1B-89A1-4CA2-9A10-6290DC6E7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2" i="1" l="1"/>
  <c r="G92" i="1"/>
  <c r="H92" i="1"/>
  <c r="I92" i="1"/>
  <c r="J92" i="1"/>
  <c r="K92" i="1"/>
  <c r="L92" i="1"/>
  <c r="M92" i="1"/>
  <c r="N92" i="1"/>
  <c r="E92" i="1"/>
  <c r="D92" i="1"/>
  <c r="C92" i="1"/>
  <c r="O21" i="1"/>
  <c r="P21" i="1"/>
  <c r="Q21" i="1"/>
  <c r="R21" i="1"/>
  <c r="S21" i="1"/>
  <c r="T21" i="1"/>
  <c r="U21" i="1"/>
  <c r="V21" i="1"/>
  <c r="W21" i="1"/>
  <c r="H21" i="1"/>
  <c r="J21" i="1"/>
  <c r="I21" i="1"/>
  <c r="E22" i="1"/>
  <c r="E21" i="1"/>
  <c r="I14" i="1"/>
  <c r="G21" i="1"/>
  <c r="C22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I5" i="1"/>
  <c r="I6" i="1"/>
  <c r="I7" i="1"/>
  <c r="I8" i="1"/>
  <c r="I9" i="1"/>
  <c r="I10" i="1"/>
  <c r="I11" i="1"/>
  <c r="I12" i="1"/>
  <c r="I13" i="1"/>
  <c r="I16" i="1"/>
  <c r="I17" i="1"/>
  <c r="I18" i="1"/>
  <c r="I19" i="1"/>
  <c r="I20" i="1"/>
  <c r="H13" i="1"/>
  <c r="H14" i="1"/>
  <c r="H15" i="1"/>
  <c r="H16" i="1"/>
  <c r="H17" i="1"/>
  <c r="H18" i="1"/>
  <c r="H19" i="1"/>
  <c r="H20" i="1"/>
  <c r="H5" i="1"/>
  <c r="H6" i="1"/>
  <c r="H7" i="1"/>
  <c r="H8" i="1"/>
  <c r="H9" i="1"/>
  <c r="H4" i="1"/>
  <c r="G13" i="1"/>
  <c r="G14" i="1"/>
  <c r="G15" i="1"/>
  <c r="G16" i="1"/>
  <c r="G17" i="1"/>
  <c r="G18" i="1"/>
  <c r="G19" i="1"/>
  <c r="G20" i="1"/>
  <c r="G5" i="1"/>
  <c r="G6" i="1"/>
  <c r="G7" i="1"/>
  <c r="G8" i="1"/>
  <c r="G9" i="1"/>
  <c r="N116" i="1"/>
  <c r="N117" i="1"/>
  <c r="N118" i="1"/>
  <c r="N119" i="1"/>
  <c r="N120" i="1"/>
  <c r="N121" i="1"/>
  <c r="N122" i="1"/>
  <c r="N115" i="1"/>
  <c r="M123" i="1"/>
  <c r="D116" i="1"/>
  <c r="D117" i="1"/>
  <c r="D118" i="1"/>
  <c r="D119" i="1"/>
  <c r="D120" i="1"/>
  <c r="D121" i="1"/>
  <c r="D122" i="1"/>
  <c r="D115" i="1"/>
  <c r="D114" i="1"/>
  <c r="C123" i="1"/>
  <c r="K109" i="1"/>
  <c r="O105" i="1" s="1"/>
  <c r="C109" i="1"/>
  <c r="G102" i="1" s="1"/>
  <c r="J4" i="1"/>
  <c r="F21" i="1"/>
  <c r="G12" i="1"/>
  <c r="D21" i="1"/>
  <c r="H10" i="1" s="1"/>
  <c r="C21" i="1"/>
  <c r="M107" i="1" l="1"/>
  <c r="M102" i="1"/>
  <c r="O101" i="1"/>
  <c r="O102" i="1"/>
  <c r="M105" i="1"/>
  <c r="M103" i="1"/>
  <c r="O108" i="1"/>
  <c r="O104" i="1"/>
  <c r="O103" i="1"/>
  <c r="M108" i="1"/>
  <c r="M106" i="1"/>
  <c r="M104" i="1"/>
  <c r="O107" i="1"/>
  <c r="I15" i="1"/>
  <c r="G108" i="1"/>
  <c r="E106" i="1"/>
  <c r="E102" i="1"/>
  <c r="G106" i="1"/>
  <c r="G105" i="1"/>
  <c r="E105" i="1"/>
  <c r="E103" i="1"/>
  <c r="G101" i="1"/>
  <c r="E101" i="1"/>
  <c r="G104" i="1"/>
  <c r="E108" i="1"/>
  <c r="G103" i="1"/>
  <c r="E104" i="1"/>
  <c r="G107" i="1"/>
  <c r="E107" i="1"/>
  <c r="G10" i="1"/>
  <c r="I4" i="1"/>
  <c r="G4" i="1"/>
  <c r="O106" i="1"/>
  <c r="H12" i="1"/>
  <c r="M101" i="1"/>
</calcChain>
</file>

<file path=xl/sharedStrings.xml><?xml version="1.0" encoding="utf-8"?>
<sst xmlns="http://schemas.openxmlformats.org/spreadsheetml/2006/main" count="459" uniqueCount="71">
  <si>
    <t>District</t>
  </si>
  <si>
    <t>Burdwan</t>
  </si>
  <si>
    <t>Birbhum</t>
  </si>
  <si>
    <t>Bankura</t>
  </si>
  <si>
    <t>Midnapur</t>
  </si>
  <si>
    <t>Howrah</t>
  </si>
  <si>
    <t>Hooghly</t>
  </si>
  <si>
    <t>N_24-Parganas</t>
  </si>
  <si>
    <t>S_24-Parganas</t>
  </si>
  <si>
    <t>Calcutta</t>
  </si>
  <si>
    <t>Nadia</t>
  </si>
  <si>
    <t>Murshidabad</t>
  </si>
  <si>
    <t>West Dinajpur</t>
  </si>
  <si>
    <t>Malda</t>
  </si>
  <si>
    <t>Jalpaiguri</t>
  </si>
  <si>
    <t>Darjeeling</t>
  </si>
  <si>
    <t>Coachbehar</t>
  </si>
  <si>
    <t>Purulia</t>
  </si>
  <si>
    <t>Male</t>
  </si>
  <si>
    <t>Female</t>
  </si>
  <si>
    <t>Year</t>
  </si>
  <si>
    <t>Sex</t>
  </si>
  <si>
    <t>1987-'88</t>
  </si>
  <si>
    <t>Primary</t>
  </si>
  <si>
    <t>Middle</t>
  </si>
  <si>
    <t>High</t>
  </si>
  <si>
    <t>1988-'89</t>
  </si>
  <si>
    <t>High Secendary</t>
  </si>
  <si>
    <t>1989-'90</t>
  </si>
  <si>
    <t>Total</t>
  </si>
  <si>
    <t>Age group</t>
  </si>
  <si>
    <t>0-4</t>
  </si>
  <si>
    <t>15-19</t>
  </si>
  <si>
    <t>20-24</t>
  </si>
  <si>
    <t>25-29</t>
  </si>
  <si>
    <t>30-34</t>
  </si>
  <si>
    <t>60+</t>
  </si>
  <si>
    <t>35-59</t>
  </si>
  <si>
    <t>10-14</t>
  </si>
  <si>
    <t>5-9</t>
  </si>
  <si>
    <t>-</t>
  </si>
  <si>
    <t>Percentage</t>
  </si>
  <si>
    <t>Midnapore</t>
  </si>
  <si>
    <t>West bengal</t>
  </si>
  <si>
    <t>Name of the exam</t>
  </si>
  <si>
    <t>Madhyamik</t>
  </si>
  <si>
    <t>Higher Secendary</t>
  </si>
  <si>
    <t>Appeared</t>
  </si>
  <si>
    <t>Passed</t>
  </si>
  <si>
    <t>83388 *</t>
  </si>
  <si>
    <t>General degree Colleges</t>
  </si>
  <si>
    <t>B.Ed/Ph. Colleges</t>
  </si>
  <si>
    <t>Ph. Edn. Colleges</t>
  </si>
  <si>
    <t>Law Colleges</t>
  </si>
  <si>
    <t>Music Colleges</t>
  </si>
  <si>
    <t>Art Colleges</t>
  </si>
  <si>
    <t>Engg. Colleges</t>
  </si>
  <si>
    <t>Tech. Colleges</t>
  </si>
  <si>
    <t>Spl. Type of Intt.</t>
  </si>
  <si>
    <t>B.A. Part-I</t>
  </si>
  <si>
    <t>B.Sc. Part-I</t>
  </si>
  <si>
    <t>B.Com. Part-I</t>
  </si>
  <si>
    <t>B.A. Part-II</t>
  </si>
  <si>
    <t>B.Sc. Part-II</t>
  </si>
  <si>
    <t>B.Com. Part-II</t>
  </si>
  <si>
    <t>B.A. Pass</t>
  </si>
  <si>
    <t>B.Sc. Pass</t>
  </si>
  <si>
    <t>B.Com. Pass</t>
  </si>
  <si>
    <t>Percentage over total</t>
  </si>
  <si>
    <t>Percentage over total population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</si>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</sst>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16" fontId="0" fillId="0" borderId="1" xfId="0" applyNumberFormat="1" applyBorder="1"/>
    <xf numFmtId="0" fontId="0" fillId="0" borderId="1" xfId="0" applyBorder="1" applyAlignment="1">
      <alignment vertical="center"/>
    </xf>
    <xf numFmtId="16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Fill="1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3F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</a:t>
            </a:r>
            <a:r>
              <a:rPr lang="en-IN" baseline="0"/>
              <a:t> of Literates by sex and districts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District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Sheet1!$C$3:$F$3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2CA6-4D03-B37E-B0B314803504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Burdwan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Sheet1!$C$4:$F$4</c:f>
              <c:numCache>
                <c:formatCode>General</c:formatCode>
                <c:ptCount val="4"/>
                <c:pt idx="0">
                  <c:v>1307145</c:v>
                </c:pt>
                <c:pt idx="1">
                  <c:v>744668</c:v>
                </c:pt>
                <c:pt idx="2">
                  <c:v>1910272</c:v>
                </c:pt>
                <c:pt idx="3">
                  <c:v>1226489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A6-4D03-B37E-B0B314803504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Birbhum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Sheet1!$C$5:$F$5</c:f>
              <c:numCache>
                <c:formatCode>General</c:formatCode>
                <c:ptCount val="4"/>
                <c:pt idx="0">
                  <c:v>254791</c:v>
                </c:pt>
                <c:pt idx="1">
                  <c:v>251316</c:v>
                </c:pt>
                <c:pt idx="2">
                  <c:v>632311</c:v>
                </c:pt>
                <c:pt idx="3">
                  <c:v>372463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A6-4D03-B37E-B0B314803504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Bankura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Sheet1!$C$6:$F$6</c:f>
              <c:numCache>
                <c:formatCode>General</c:formatCode>
                <c:ptCount val="4"/>
                <c:pt idx="0">
                  <c:v>627675</c:v>
                </c:pt>
                <c:pt idx="1">
                  <c:v>282676</c:v>
                </c:pt>
                <c:pt idx="2">
                  <c:v>800559</c:v>
                </c:pt>
                <c:pt idx="3">
                  <c:v>416115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A6-4D03-B37E-B0B314803504}"/>
            </c:ext>
          </c:extLst>
        </c:ser>
        <c:ser>
          <c:idx val="4"/>
          <c:order val="4"/>
          <c:tx>
            <c:strRef>
              <c:f>Sheet1!$B$7</c:f>
              <c:strCache>
                <c:ptCount val="1"/>
                <c:pt idx="0">
                  <c:v>Midnapur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Sheet1!$C$7:$F$7</c:f>
              <c:numCache>
                <c:formatCode>General</c:formatCode>
                <c:ptCount val="4"/>
                <c:pt idx="0">
                  <c:v>1920232</c:v>
                </c:pt>
                <c:pt idx="1">
                  <c:v>961208</c:v>
                </c:pt>
                <c:pt idx="2">
                  <c:v>2869360</c:v>
                </c:pt>
                <c:pt idx="3">
                  <c:v>1884920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A6-4D03-B37E-B0B314803504}"/>
            </c:ext>
          </c:extLst>
        </c:ser>
        <c:ser>
          <c:idx val="5"/>
          <c:order val="5"/>
          <c:tx>
            <c:strRef>
              <c:f>Sheet1!$B$8</c:f>
              <c:strCache>
                <c:ptCount val="1"/>
                <c:pt idx="0">
                  <c:v>Howrah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Sheet1!$C$8:$F$8</c:f>
              <c:numCache>
                <c:formatCode>General</c:formatCode>
                <c:ptCount val="4"/>
                <c:pt idx="0">
                  <c:v>962584</c:v>
                </c:pt>
                <c:pt idx="1">
                  <c:v>562010</c:v>
                </c:pt>
                <c:pt idx="2">
                  <c:v>1291620</c:v>
                </c:pt>
                <c:pt idx="3">
                  <c:v>851686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A6-4D03-B37E-B0B314803504}"/>
            </c:ext>
          </c:extLst>
        </c:ser>
        <c:ser>
          <c:idx val="6"/>
          <c:order val="6"/>
          <c:tx>
            <c:strRef>
              <c:f>Sheet1!$B$9</c:f>
              <c:strCache>
                <c:ptCount val="1"/>
                <c:pt idx="0">
                  <c:v>Hooghly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Sheet1!$C$9:$F$9</c:f>
              <c:numCache>
                <c:formatCode>General</c:formatCode>
                <c:ptCount val="4"/>
                <c:pt idx="0">
                  <c:v>1080884</c:v>
                </c:pt>
                <c:pt idx="1">
                  <c:v>654598</c:v>
                </c:pt>
                <c:pt idx="2">
                  <c:v>1471726</c:v>
                </c:pt>
                <c:pt idx="3">
                  <c:v>1005512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A6-4D03-B37E-B0B314803504}"/>
            </c:ext>
          </c:extLst>
        </c:ser>
        <c:ser>
          <c:idx val="7"/>
          <c:order val="7"/>
          <c:tx>
            <c:strRef>
              <c:f>Sheet1!$B$10</c:f>
              <c:strCache>
                <c:ptCount val="1"/>
                <c:pt idx="0">
                  <c:v>N_24-Parganas</c:v>
                </c:pt>
              </c:strCache>
            </c:strRef>
          </c:tx>
          <c:spPr>
            <a:pattFill prst="narVert">
              <a:fgClr>
                <a:schemeClr val="accent2">
                  <a:lumMod val="60000"/>
                </a:schemeClr>
              </a:fgClr>
              <a:bgClr>
                <a:schemeClr val="accent2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60000"/>
                </a:schemeClr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Sheet1!$C$10:$F$10</c:f>
              <c:numCache>
                <c:formatCode>General</c:formatCode>
                <c:ptCount val="4"/>
                <c:pt idx="0">
                  <c:v>3147288</c:v>
                </c:pt>
                <c:pt idx="1">
                  <c:v>1810795</c:v>
                </c:pt>
                <c:pt idx="2">
                  <c:v>2434721</c:v>
                </c:pt>
                <c:pt idx="3">
                  <c:v>1693972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A6-4D03-B37E-B0B314803504}"/>
            </c:ext>
          </c:extLst>
        </c:ser>
        <c:ser>
          <c:idx val="8"/>
          <c:order val="8"/>
          <c:tx>
            <c:strRef>
              <c:f>Sheet1!$B$11</c:f>
              <c:strCache>
                <c:ptCount val="1"/>
                <c:pt idx="0">
                  <c:v>S_24-Parganas</c:v>
                </c:pt>
              </c:strCache>
            </c:strRef>
          </c:tx>
          <c:spPr>
            <a:pattFill prst="narVert">
              <a:fgClr>
                <a:schemeClr val="accent3">
                  <a:lumMod val="60000"/>
                </a:schemeClr>
              </a:fgClr>
              <a:bgClr>
                <a:schemeClr val="accent3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60000"/>
                </a:schemeClr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Sheet1!$C$11:$F$11</c:f>
              <c:numCache>
                <c:formatCode>General</c:formatCode>
                <c:ptCount val="4"/>
                <c:pt idx="2">
                  <c:v>1651085</c:v>
                </c:pt>
                <c:pt idx="3">
                  <c:v>899652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A6-4D03-B37E-B0B314803504}"/>
            </c:ext>
          </c:extLst>
        </c:ser>
        <c:ser>
          <c:idx val="9"/>
          <c:order val="9"/>
          <c:tx>
            <c:strRef>
              <c:f>Sheet1!$B$12</c:f>
              <c:strCache>
                <c:ptCount val="1"/>
                <c:pt idx="0">
                  <c:v>Calcutta</c:v>
                </c:pt>
              </c:strCache>
            </c:strRef>
          </c:tx>
          <c:spPr>
            <a:pattFill prst="narVert">
              <a:fgClr>
                <a:schemeClr val="accent4">
                  <a:lumMod val="60000"/>
                </a:schemeClr>
              </a:fgClr>
              <a:bgClr>
                <a:schemeClr val="accent4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60000"/>
                </a:schemeClr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Sheet1!$C$12:$F$12</c:f>
              <c:numCache>
                <c:formatCode>General</c:formatCode>
                <c:ptCount val="4"/>
                <c:pt idx="0">
                  <c:v>1418245</c:v>
                </c:pt>
                <c:pt idx="1">
                  <c:v>866247</c:v>
                </c:pt>
                <c:pt idx="2">
                  <c:v>1827195</c:v>
                </c:pt>
                <c:pt idx="3">
                  <c:v>1260703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CA6-4D03-B37E-B0B314803504}"/>
            </c:ext>
          </c:extLst>
        </c:ser>
        <c:ser>
          <c:idx val="10"/>
          <c:order val="10"/>
          <c:tx>
            <c:strRef>
              <c:f>Sheet1!$B$13</c:f>
              <c:strCache>
                <c:ptCount val="1"/>
                <c:pt idx="0">
                  <c:v>Nadia</c:v>
                </c:pt>
              </c:strCache>
            </c:strRef>
          </c:tx>
          <c:spPr>
            <a:pattFill prst="narVert">
              <a:fgClr>
                <a:schemeClr val="accent5">
                  <a:lumMod val="60000"/>
                </a:schemeClr>
              </a:fgClr>
              <a:bgClr>
                <a:schemeClr val="accent5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60000"/>
                </a:schemeClr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Sheet1!$C$13:$F$13</c:f>
              <c:numCache>
                <c:formatCode>General</c:formatCode>
                <c:ptCount val="4"/>
                <c:pt idx="0">
                  <c:v>666238</c:v>
                </c:pt>
                <c:pt idx="1">
                  <c:v>422046</c:v>
                </c:pt>
                <c:pt idx="2">
                  <c:v>1000807</c:v>
                </c:pt>
                <c:pt idx="3">
                  <c:v>686090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A6-4D03-B37E-B0B314803504}"/>
            </c:ext>
          </c:extLst>
        </c:ser>
        <c:ser>
          <c:idx val="11"/>
          <c:order val="11"/>
          <c:tx>
            <c:strRef>
              <c:f>Sheet1!$B$14</c:f>
              <c:strCache>
                <c:ptCount val="1"/>
                <c:pt idx="0">
                  <c:v>Murshidabad</c:v>
                </c:pt>
              </c:strCache>
            </c:strRef>
          </c:tx>
          <c:spPr>
            <a:pattFill prst="narVert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60000"/>
                </a:schemeClr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Sheet1!$C$14:$F$14</c:f>
              <c:numCache>
                <c:formatCode>General</c:formatCode>
                <c:ptCount val="4"/>
                <c:pt idx="0">
                  <c:v>599239</c:v>
                </c:pt>
                <c:pt idx="1">
                  <c:v>321264</c:v>
                </c:pt>
                <c:pt idx="2">
                  <c:v>899266</c:v>
                </c:pt>
                <c:pt idx="3">
                  <c:v>535186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CA6-4D03-B37E-B0B314803504}"/>
            </c:ext>
          </c:extLst>
        </c:ser>
        <c:ser>
          <c:idx val="12"/>
          <c:order val="12"/>
          <c:tx>
            <c:strRef>
              <c:f>Sheet1!$B$15</c:f>
              <c:strCache>
                <c:ptCount val="1"/>
                <c:pt idx="0">
                  <c:v>West Dinajpur</c:v>
                </c:pt>
              </c:strCache>
            </c:strRef>
          </c:tx>
          <c:spPr>
            <a:pattFill prst="narVert">
              <a:fgClr>
                <a:schemeClr val="accent1">
                  <a:lumMod val="80000"/>
                  <a:lumOff val="20000"/>
                </a:schemeClr>
              </a:fgClr>
              <a:bgClr>
                <a:schemeClr val="accent1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80000"/>
                  <a:lumOff val="20000"/>
                </a:schemeClr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Sheet1!$C$15:$F$15</c:f>
              <c:numCache>
                <c:formatCode>General</c:formatCode>
                <c:ptCount val="4"/>
                <c:pt idx="0">
                  <c:v>449689</c:v>
                </c:pt>
                <c:pt idx="1">
                  <c:v>199692</c:v>
                </c:pt>
                <c:pt idx="2">
                  <c:v>650678</c:v>
                </c:pt>
                <c:pt idx="3">
                  <c:v>334704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CA6-4D03-B37E-B0B314803504}"/>
            </c:ext>
          </c:extLst>
        </c:ser>
        <c:ser>
          <c:idx val="13"/>
          <c:order val="13"/>
          <c:tx>
            <c:strRef>
              <c:f>Sheet1!$B$16</c:f>
              <c:strCache>
                <c:ptCount val="1"/>
                <c:pt idx="0">
                  <c:v>Malda</c:v>
                </c:pt>
              </c:strCache>
            </c:strRef>
          </c:tx>
          <c:spPr>
            <a:pattFill prst="narVert">
              <a:fgClr>
                <a:schemeClr val="accent2">
                  <a:lumMod val="80000"/>
                  <a:lumOff val="20000"/>
                </a:schemeClr>
              </a:fgClr>
              <a:bgClr>
                <a:schemeClr val="accent2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80000"/>
                  <a:lumOff val="20000"/>
                </a:schemeClr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Sheet1!$C$16:$F$16</c:f>
              <c:numCache>
                <c:formatCode>General</c:formatCode>
                <c:ptCount val="4"/>
                <c:pt idx="0">
                  <c:v>327808</c:v>
                </c:pt>
                <c:pt idx="1">
                  <c:v>140728</c:v>
                </c:pt>
                <c:pt idx="2">
                  <c:v>492770</c:v>
                </c:pt>
                <c:pt idx="3">
                  <c:v>251048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CA6-4D03-B37E-B0B314803504}"/>
            </c:ext>
          </c:extLst>
        </c:ser>
        <c:ser>
          <c:idx val="14"/>
          <c:order val="14"/>
          <c:tx>
            <c:strRef>
              <c:f>Sheet1!$B$17</c:f>
              <c:strCache>
                <c:ptCount val="1"/>
                <c:pt idx="0">
                  <c:v>Jalpaiguri</c:v>
                </c:pt>
              </c:strCache>
            </c:strRef>
          </c:tx>
          <c:spPr>
            <a:pattFill prst="narVert">
              <a:fgClr>
                <a:schemeClr val="accent3">
                  <a:lumMod val="80000"/>
                  <a:lumOff val="20000"/>
                </a:schemeClr>
              </a:fgClr>
              <a:bgClr>
                <a:schemeClr val="accent3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80000"/>
                  <a:lumOff val="20000"/>
                </a:schemeClr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Sheet1!$C$17:$F$17</c:f>
              <c:numCache>
                <c:formatCode>General</c:formatCode>
                <c:ptCount val="4"/>
                <c:pt idx="0">
                  <c:v>432566</c:v>
                </c:pt>
                <c:pt idx="1">
                  <c:v>213865</c:v>
                </c:pt>
                <c:pt idx="2">
                  <c:v>668408</c:v>
                </c:pt>
                <c:pt idx="3">
                  <c:v>363510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CA6-4D03-B37E-B0B314803504}"/>
            </c:ext>
          </c:extLst>
        </c:ser>
        <c:ser>
          <c:idx val="15"/>
          <c:order val="15"/>
          <c:tx>
            <c:strRef>
              <c:f>Sheet1!$B$18</c:f>
              <c:strCache>
                <c:ptCount val="1"/>
                <c:pt idx="0">
                  <c:v>Darjeeling</c:v>
                </c:pt>
              </c:strCache>
            </c:strRef>
          </c:tx>
          <c:spPr>
            <a:pattFill prst="narVert">
              <a:fgClr>
                <a:schemeClr val="accent4">
                  <a:lumMod val="80000"/>
                  <a:lumOff val="20000"/>
                </a:schemeClr>
              </a:fgClr>
              <a:bgClr>
                <a:schemeClr val="accent4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80000"/>
                  <a:lumOff val="20000"/>
                </a:schemeClr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Sheet1!$C$18:$F$18</c:f>
              <c:numCache>
                <c:formatCode>General</c:formatCode>
                <c:ptCount val="4"/>
                <c:pt idx="0">
                  <c:v>281564</c:v>
                </c:pt>
                <c:pt idx="1">
                  <c:v>153443</c:v>
                </c:pt>
                <c:pt idx="2">
                  <c:v>387248</c:v>
                </c:pt>
                <c:pt idx="3">
                  <c:v>249289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CA6-4D03-B37E-B0B314803504}"/>
            </c:ext>
          </c:extLst>
        </c:ser>
        <c:ser>
          <c:idx val="16"/>
          <c:order val="16"/>
          <c:tx>
            <c:strRef>
              <c:f>Sheet1!$B$19</c:f>
              <c:strCache>
                <c:ptCount val="1"/>
                <c:pt idx="0">
                  <c:v>Coachbehar</c:v>
                </c:pt>
              </c:strCache>
            </c:strRef>
          </c:tx>
          <c:spPr>
            <a:pattFill prst="narVert">
              <a:fgClr>
                <a:schemeClr val="accent5">
                  <a:lumMod val="80000"/>
                  <a:lumOff val="20000"/>
                </a:schemeClr>
              </a:fgClr>
              <a:bgClr>
                <a:schemeClr val="accent5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80000"/>
                  <a:lumOff val="20000"/>
                </a:schemeClr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Sheet1!$C$19:$F$19</c:f>
              <c:numCache>
                <c:formatCode>General</c:formatCode>
                <c:ptCount val="4"/>
                <c:pt idx="0">
                  <c:v>366965</c:v>
                </c:pt>
                <c:pt idx="1">
                  <c:v>167381</c:v>
                </c:pt>
                <c:pt idx="2">
                  <c:v>523981</c:v>
                </c:pt>
                <c:pt idx="3">
                  <c:v>282126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CA6-4D03-B37E-B0B314803504}"/>
            </c:ext>
          </c:extLst>
        </c:ser>
        <c:ser>
          <c:idx val="17"/>
          <c:order val="17"/>
          <c:tx>
            <c:strRef>
              <c:f>Sheet1!$B$20</c:f>
              <c:strCache>
                <c:ptCount val="1"/>
                <c:pt idx="0">
                  <c:v>Purulia</c:v>
                </c:pt>
              </c:strCache>
            </c:strRef>
          </c:tx>
          <c:spPr>
            <a:pattFill prst="narVert">
              <a:fgClr>
                <a:schemeClr val="accent6">
                  <a:lumMod val="80000"/>
                  <a:lumOff val="20000"/>
                </a:schemeClr>
              </a:fgClr>
              <a:bgClr>
                <a:schemeClr val="accent6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80000"/>
                  <a:lumOff val="20000"/>
                </a:schemeClr>
              </a:innerShdw>
            </a:effectLst>
          </c:spPr>
          <c:invertIfNegative val="0"/>
          <c:cat>
            <c:multiLvlStrRef>
              <c:f>Sheet1!$C$1:$H$2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1981</c:v>
                  </c:pt>
                  <c:pt idx="2">
                    <c:v>1991</c:v>
                  </c:pt>
                  <c:pt idx="4">
                    <c:v>1981</c:v>
                  </c:pt>
                </c:lvl>
              </c:multiLvlStrCache>
            </c:multiLvlStrRef>
          </c:cat>
          <c:val>
            <c:numRef>
              <c:f>Sheet1!$C$20:$F$20</c:f>
              <c:numCache>
                <c:formatCode>General</c:formatCode>
                <c:ptCount val="4"/>
                <c:pt idx="0">
                  <c:v>430132</c:v>
                </c:pt>
                <c:pt idx="1">
                  <c:v>120170</c:v>
                </c:pt>
                <c:pt idx="2">
                  <c:v>579829</c:v>
                </c:pt>
                <c:pt idx="3">
                  <c:v>204096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CA6-4D03-B37E-B0B314803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566228448"/>
        <c:axId val="569551872"/>
      </c:barChart>
      <c:catAx>
        <c:axId val="56622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551872"/>
        <c:crosses val="autoZero"/>
        <c:auto val="1"/>
        <c:lblAlgn val="ctr"/>
        <c:lblOffset val="100"/>
        <c:noMultiLvlLbl val="0"/>
      </c:catAx>
      <c:valAx>
        <c:axId val="56955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2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Yearwise</a:t>
            </a:r>
            <a:r>
              <a:rPr lang="en-IN" sz="1100" baseline="0"/>
              <a:t> results of Madhyamik &amp;Higher Secondary examinations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Sheet1!$B$126</c:f>
              <c:strCache>
                <c:ptCount val="1"/>
                <c:pt idx="0">
                  <c:v>1981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Sheet1!$B$127:$B$129</c15:sqref>
                  </c15:fullRef>
                </c:ext>
              </c:extLst>
              <c:f>Sheet1!$B$128:$B$129</c:f>
              <c:numCache>
                <c:formatCode>General</c:formatCode>
                <c:ptCount val="2"/>
                <c:pt idx="0">
                  <c:v>286083</c:v>
                </c:pt>
                <c:pt idx="1">
                  <c:v>167001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F-4EF6-A36E-5E6CF3788BCC}"/>
            </c:ext>
          </c:extLst>
        </c:ser>
        <c:ser>
          <c:idx val="1"/>
          <c:order val="1"/>
          <c:tx>
            <c:strRef>
              <c:f>Sheet1!$C$126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Sheet1!$C$127:$C$129</c15:sqref>
                  </c15:fullRef>
                </c:ext>
              </c:extLst>
              <c:f>Sheet1!$C$128:$C$129</c:f>
              <c:numCache>
                <c:formatCode>General</c:formatCode>
                <c:ptCount val="2"/>
                <c:pt idx="0">
                  <c:v>145010</c:v>
                </c:pt>
                <c:pt idx="1">
                  <c:v>78145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F-4EF6-A36E-5E6CF3788BCC}"/>
            </c:ext>
          </c:extLst>
        </c:ser>
        <c:ser>
          <c:idx val="2"/>
          <c:order val="2"/>
          <c:tx>
            <c:strRef>
              <c:f>Sheet1!$D$126</c:f>
              <c:strCache>
                <c:ptCount val="1"/>
                <c:pt idx="0">
                  <c:v>1985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Sheet1!$D$127:$D$129</c15:sqref>
                  </c15:fullRef>
                </c:ext>
              </c:extLst>
              <c:f>Sheet1!$D$128:$D$129</c:f>
              <c:numCache>
                <c:formatCode>General</c:formatCode>
                <c:ptCount val="2"/>
                <c:pt idx="0">
                  <c:v>302293</c:v>
                </c:pt>
                <c:pt idx="1">
                  <c:v>254650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5F-4294-A5A9-DDF327505ADD}"/>
            </c:ext>
          </c:extLst>
        </c:ser>
        <c:ser>
          <c:idx val="3"/>
          <c:order val="3"/>
          <c:tx>
            <c:strRef>
              <c:f>Sheet1!$E$126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Sheet1!$E$127:$E$129</c15:sqref>
                  </c15:fullRef>
                </c:ext>
              </c:extLst>
              <c:f>Sheet1!$E$128:$E$129</c:f>
              <c:numCache>
                <c:formatCode>General</c:formatCode>
                <c:ptCount val="2"/>
                <c:pt idx="0">
                  <c:v>186461</c:v>
                </c:pt>
                <c:pt idx="1">
                  <c:v>129831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65F-4294-A5A9-DDF327505ADD}"/>
            </c:ext>
          </c:extLst>
        </c:ser>
        <c:ser>
          <c:idx val="4"/>
          <c:order val="4"/>
          <c:tx>
            <c:strRef>
              <c:f>Sheet1!$F$126</c:f>
              <c:strCache>
                <c:ptCount val="1"/>
                <c:pt idx="0">
                  <c:v>1986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Sheet1!$F$127:$F$129</c15:sqref>
                  </c15:fullRef>
                </c:ext>
              </c:extLst>
              <c:f>Sheet1!$F$128:$F$129</c:f>
              <c:numCache>
                <c:formatCode>General</c:formatCode>
                <c:ptCount val="2"/>
                <c:pt idx="0">
                  <c:v>310985</c:v>
                </c:pt>
                <c:pt idx="1">
                  <c:v>258883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65F-4294-A5A9-DDF327505ADD}"/>
            </c:ext>
          </c:extLst>
        </c:ser>
        <c:ser>
          <c:idx val="5"/>
          <c:order val="5"/>
          <c:tx>
            <c:strRef>
              <c:f>Sheet1!$G$126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Sheet1!$G$127:$G$129</c15:sqref>
                  </c15:fullRef>
                </c:ext>
              </c:extLst>
              <c:f>Sheet1!$G$128:$G$129</c:f>
              <c:numCache>
                <c:formatCode>General</c:formatCode>
                <c:ptCount val="2"/>
                <c:pt idx="0">
                  <c:v>145566</c:v>
                </c:pt>
                <c:pt idx="1">
                  <c:v>112287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65F-4294-A5A9-DDF327505ADD}"/>
            </c:ext>
          </c:extLst>
        </c:ser>
        <c:ser>
          <c:idx val="6"/>
          <c:order val="6"/>
          <c:tx>
            <c:strRef>
              <c:f>Sheet1!$H$126</c:f>
              <c:strCache>
                <c:ptCount val="1"/>
                <c:pt idx="0">
                  <c:v>1987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Sheet1!$H$127:$H$129</c15:sqref>
                  </c15:fullRef>
                </c:ext>
              </c:extLst>
              <c:f>Sheet1!$H$128:$H$129</c:f>
              <c:numCache>
                <c:formatCode>General</c:formatCode>
                <c:ptCount val="2"/>
                <c:pt idx="0">
                  <c:v>366784</c:v>
                </c:pt>
                <c:pt idx="1">
                  <c:v>278024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A65F-4294-A5A9-DDF327505ADD}"/>
            </c:ext>
          </c:extLst>
        </c:ser>
        <c:ser>
          <c:idx val="7"/>
          <c:order val="7"/>
          <c:tx>
            <c:strRef>
              <c:f>Sheet1!$I$126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Sheet1!$I$127:$I$129</c15:sqref>
                  </c15:fullRef>
                </c:ext>
              </c:extLst>
              <c:f>Sheet1!$I$128:$I$129</c:f>
              <c:numCache>
                <c:formatCode>General</c:formatCode>
                <c:ptCount val="2"/>
                <c:pt idx="0">
                  <c:v>182409</c:v>
                </c:pt>
                <c:pt idx="1">
                  <c:v>98995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A65F-4294-A5A9-DDF327505ADD}"/>
            </c:ext>
          </c:extLst>
        </c:ser>
        <c:ser>
          <c:idx val="8"/>
          <c:order val="8"/>
          <c:tx>
            <c:strRef>
              <c:f>Sheet1!$J$126</c:f>
              <c:strCache>
                <c:ptCount val="1"/>
                <c:pt idx="0">
                  <c:v>1988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Sheet1!$J$127:$J$129</c15:sqref>
                  </c15:fullRef>
                </c:ext>
              </c:extLst>
              <c:f>Sheet1!$J$128:$J$129</c:f>
              <c:numCache>
                <c:formatCode>General</c:formatCode>
                <c:ptCount val="2"/>
                <c:pt idx="0">
                  <c:v>431273</c:v>
                </c:pt>
                <c:pt idx="1">
                  <c:v>259293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A65F-4294-A5A9-DDF327505ADD}"/>
            </c:ext>
          </c:extLst>
        </c:ser>
        <c:ser>
          <c:idx val="9"/>
          <c:order val="9"/>
          <c:tx>
            <c:strRef>
              <c:f>Sheet1!$K$126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Sheet1!$K$127:$K$129</c15:sqref>
                  </c15:fullRef>
                </c:ext>
              </c:extLst>
              <c:f>Sheet1!$K$128:$K$129</c:f>
              <c:numCache>
                <c:formatCode>General</c:formatCode>
                <c:ptCount val="2"/>
                <c:pt idx="0">
                  <c:v>188314</c:v>
                </c:pt>
                <c:pt idx="1">
                  <c:v>123655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65F-4294-A5A9-DDF327505ADD}"/>
            </c:ext>
          </c:extLst>
        </c:ser>
        <c:ser>
          <c:idx val="10"/>
          <c:order val="10"/>
          <c:tx>
            <c:strRef>
              <c:f>Sheet1!$L$126</c:f>
              <c:strCache>
                <c:ptCount val="1"/>
                <c:pt idx="0">
                  <c:v>1989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Sheet1!$L$127:$L$129</c15:sqref>
                  </c15:fullRef>
                </c:ext>
              </c:extLst>
              <c:f>Sheet1!$L$128:$L$129</c:f>
              <c:numCache>
                <c:formatCode>General</c:formatCode>
                <c:ptCount val="2"/>
                <c:pt idx="0">
                  <c:v>416232</c:v>
                </c:pt>
                <c:pt idx="1">
                  <c:v>262874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65F-4294-A5A9-DDF327505ADD}"/>
            </c:ext>
          </c:extLst>
        </c:ser>
        <c:ser>
          <c:idx val="11"/>
          <c:order val="11"/>
          <c:tx>
            <c:strRef>
              <c:f>Sheet1!$M$126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Sheet1!$M$127:$M$129</c15:sqref>
                  </c15:fullRef>
                </c:ext>
              </c:extLst>
              <c:f>Sheet1!$M$128:$M$129</c:f>
              <c:numCache>
                <c:formatCode>General</c:formatCode>
                <c:ptCount val="2"/>
                <c:pt idx="0">
                  <c:v>222902</c:v>
                </c:pt>
                <c:pt idx="1">
                  <c:v>121815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A65F-4294-A5A9-DDF327505ADD}"/>
            </c:ext>
          </c:extLst>
        </c:ser>
        <c:ser>
          <c:idx val="12"/>
          <c:order val="12"/>
          <c:tx>
            <c:strRef>
              <c:f>Sheet1!$N$126</c:f>
              <c:strCache>
                <c:ptCount val="1"/>
                <c:pt idx="0">
                  <c:v>1990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Sheet1!$N$127:$N$129</c15:sqref>
                  </c15:fullRef>
                </c:ext>
              </c:extLst>
              <c:f>Sheet1!$N$128:$N$129</c:f>
              <c:numCache>
                <c:formatCode>General</c:formatCode>
                <c:ptCount val="2"/>
                <c:pt idx="0">
                  <c:v>412392</c:v>
                </c:pt>
                <c:pt idx="1">
                  <c:v>280804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A65F-4294-A5A9-DDF327505ADD}"/>
            </c:ext>
          </c:extLst>
        </c:ser>
        <c:ser>
          <c:idx val="13"/>
          <c:order val="13"/>
          <c:tx>
            <c:strRef>
              <c:f>Sheet1!$O$126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Sheet1!$O$127:$O$129</c15:sqref>
                  </c15:fullRef>
                </c:ext>
              </c:extLst>
              <c:f>Sheet1!$O$128:$O$129</c:f>
              <c:numCache>
                <c:formatCode>General</c:formatCode>
                <c:ptCount val="2"/>
                <c:pt idx="0">
                  <c:v>195851</c:v>
                </c:pt>
                <c:pt idx="1">
                  <c:v>131802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A65F-4294-A5A9-DDF327505ADD}"/>
            </c:ext>
          </c:extLst>
        </c:ser>
        <c:ser>
          <c:idx val="14"/>
          <c:order val="14"/>
          <c:tx>
            <c:strRef>
              <c:f>Sheet1!$P$126</c:f>
              <c:strCache>
                <c:ptCount val="1"/>
                <c:pt idx="0">
                  <c:v>1991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Sheet1!$P$127:$P$129</c15:sqref>
                  </c15:fullRef>
                </c:ext>
              </c:extLst>
              <c:f>Sheet1!$P$128:$P$129</c:f>
              <c:numCache>
                <c:formatCode>General</c:formatCode>
                <c:ptCount val="2"/>
                <c:pt idx="0">
                  <c:v>470170</c:v>
                </c:pt>
                <c:pt idx="1">
                  <c:v>308300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A65F-4294-A5A9-DDF327505ADD}"/>
            </c:ext>
          </c:extLst>
        </c:ser>
        <c:ser>
          <c:idx val="15"/>
          <c:order val="15"/>
          <c:tx>
            <c:strRef>
              <c:f>Sheet1!$Q$126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Sheet1!$Q$127:$Q$129</c15:sqref>
                  </c15:fullRef>
                </c:ext>
              </c:extLst>
              <c:f>Sheet1!$Q$128:$Q$129</c:f>
              <c:numCache>
                <c:formatCode>General</c:formatCode>
                <c:ptCount val="2"/>
                <c:pt idx="0">
                  <c:v>237246</c:v>
                </c:pt>
                <c:pt idx="1">
                  <c:v>120093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A65F-4294-A5A9-DDF327505ADD}"/>
            </c:ext>
          </c:extLst>
        </c:ser>
        <c:ser>
          <c:idx val="16"/>
          <c:order val="16"/>
          <c:tx>
            <c:strRef>
              <c:f>Sheet1!$R$126</c:f>
              <c:strCache>
                <c:ptCount val="1"/>
                <c:pt idx="0">
                  <c:v>1992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Sheet1!$R$127:$R$129</c15:sqref>
                  </c15:fullRef>
                </c:ext>
              </c:extLst>
              <c:f>Sheet1!$R$128:$R$129</c:f>
              <c:numCache>
                <c:formatCode>General</c:formatCode>
                <c:ptCount val="2"/>
                <c:pt idx="0">
                  <c:v>464736</c:v>
                </c:pt>
                <c:pt idx="1">
                  <c:v>291492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A65F-4294-A5A9-DDF327505ADD}"/>
            </c:ext>
          </c:extLst>
        </c:ser>
        <c:ser>
          <c:idx val="17"/>
          <c:order val="17"/>
          <c:tx>
            <c:strRef>
              <c:f>Sheet1!$S$126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Sheet1!$A$127:$A$129</c15:sqref>
                  </c15:fullRef>
                </c:ext>
              </c:extLst>
              <c:f>Sheet1!$A$128:$A$129</c:f>
              <c:strCache>
                <c:ptCount val="2"/>
                <c:pt idx="0">
                  <c:v>Madhyamik</c:v>
                </c:pt>
                <c:pt idx="1">
                  <c:v>Higher Secendary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Sheet1!$S$127:$S$129</c15:sqref>
                  </c15:fullRef>
                </c:ext>
              </c:extLst>
              <c:f>Sheet1!$S$128:$S$129</c:f>
              <c:numCache>
                <c:formatCode>General</c:formatCode>
                <c:ptCount val="2"/>
                <c:pt idx="0">
                  <c:v>285125</c:v>
                </c:pt>
                <c:pt idx="1">
                  <c:v>114066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A65F-4294-A5A9-DDF327505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994928"/>
        <c:axId val="787327504"/>
      </c:barChart>
      <c:catAx>
        <c:axId val="41099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27504"/>
        <c:crosses val="autoZero"/>
        <c:auto val="1"/>
        <c:lblAlgn val="ctr"/>
        <c:lblOffset val="100"/>
        <c:noMultiLvlLbl val="0"/>
      </c:catAx>
      <c:valAx>
        <c:axId val="78732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9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Sheet1!$V$94:$V$96</c:f>
              <c:strCache>
                <c:ptCount val="3"/>
                <c:pt idx="0">
                  <c:v>Darjeeling</c:v>
                </c:pt>
                <c:pt idx="1">
                  <c:v>Male</c:v>
                </c:pt>
                <c:pt idx="2">
                  <c:v>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Sheet1!$U$97:$U$104</c:f>
              <c:strCache>
                <c:ptCount val="8"/>
                <c:pt idx="0">
                  <c:v>5-9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35-59</c:v>
                </c:pt>
                <c:pt idx="7">
                  <c:v>60+</c:v>
                </c:pt>
              </c:strCache>
            </c:strRef>
          </c:cat>
          <c:val>
            <c:numRef>
              <c:f>Sheet1!$V$97:$V$104</c:f>
              <c:numCache>
                <c:formatCode>General</c:formatCode>
                <c:ptCount val="8"/>
                <c:pt idx="0">
                  <c:v>25026</c:v>
                </c:pt>
                <c:pt idx="1">
                  <c:v>46833</c:v>
                </c:pt>
                <c:pt idx="2">
                  <c:v>38938</c:v>
                </c:pt>
                <c:pt idx="3">
                  <c:v>36450</c:v>
                </c:pt>
                <c:pt idx="4">
                  <c:v>31862</c:v>
                </c:pt>
                <c:pt idx="5">
                  <c:v>22060</c:v>
                </c:pt>
                <c:pt idx="6">
                  <c:v>68148</c:v>
                </c:pt>
                <c:pt idx="7">
                  <c:v>12058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D8-4C24-B63B-4A0FDAD2C206}"/>
            </c:ext>
          </c:extLst>
        </c:ser>
        <c:ser>
          <c:idx val="1"/>
          <c:order val="1"/>
          <c:tx>
            <c:strRef>
              <c:f>Sheet1!$W$94:$W$96</c:f>
              <c:strCache>
                <c:ptCount val="3"/>
                <c:pt idx="0">
                  <c:v>Darjeeling</c:v>
                </c:pt>
                <c:pt idx="1">
                  <c:v>Female</c:v>
                </c:pt>
                <c:pt idx="2">
                  <c:v>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Sheet1!$U$97:$U$104</c:f>
              <c:strCache>
                <c:ptCount val="8"/>
                <c:pt idx="0">
                  <c:v>5-9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35-59</c:v>
                </c:pt>
                <c:pt idx="7">
                  <c:v>60+</c:v>
                </c:pt>
              </c:strCache>
            </c:strRef>
          </c:cat>
          <c:val>
            <c:numRef>
              <c:f>Sheet1!$W$97:$W$104</c:f>
              <c:numCache>
                <c:formatCode>General</c:formatCode>
                <c:ptCount val="8"/>
                <c:pt idx="0">
                  <c:v>20523</c:v>
                </c:pt>
                <c:pt idx="1">
                  <c:v>33997</c:v>
                </c:pt>
                <c:pt idx="2">
                  <c:v>28626</c:v>
                </c:pt>
                <c:pt idx="3">
                  <c:v>23747</c:v>
                </c:pt>
                <c:pt idx="4">
                  <c:v>15766</c:v>
                </c:pt>
                <c:pt idx="5">
                  <c:v>9833</c:v>
                </c:pt>
                <c:pt idx="6">
                  <c:v>18629</c:v>
                </c:pt>
                <c:pt idx="7">
                  <c:v>2216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D8-4C24-B63B-4A0FDAD2C206}"/>
            </c:ext>
          </c:extLst>
        </c:ser>
        <c:ser>
          <c:idx val="2"/>
          <c:order val="2"/>
          <c:tx>
            <c:strRef>
              <c:f>Sheet1!$X$94:$X$96</c:f>
              <c:strCache>
                <c:ptCount val="3"/>
                <c:pt idx="0">
                  <c:v>Midnapore</c:v>
                </c:pt>
                <c:pt idx="1">
                  <c:v>Male</c:v>
                </c:pt>
                <c:pt idx="2">
                  <c:v>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Sheet1!$U$97:$U$104</c:f>
              <c:strCache>
                <c:ptCount val="8"/>
                <c:pt idx="0">
                  <c:v>5-9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35-59</c:v>
                </c:pt>
                <c:pt idx="7">
                  <c:v>60+</c:v>
                </c:pt>
              </c:strCache>
            </c:strRef>
          </c:cat>
          <c:val>
            <c:numRef>
              <c:f>Sheet1!$X$97:$X$104</c:f>
              <c:numCache>
                <c:formatCode>General</c:formatCode>
                <c:ptCount val="8"/>
                <c:pt idx="0">
                  <c:v>159177</c:v>
                </c:pt>
                <c:pt idx="1">
                  <c:v>345587</c:v>
                </c:pt>
                <c:pt idx="2">
                  <c:v>251555</c:v>
                </c:pt>
                <c:pt idx="3">
                  <c:v>239680</c:v>
                </c:pt>
                <c:pt idx="4">
                  <c:v>200808</c:v>
                </c:pt>
                <c:pt idx="5">
                  <c:v>148145</c:v>
                </c:pt>
                <c:pt idx="6">
                  <c:v>458976</c:v>
                </c:pt>
                <c:pt idx="7">
                  <c:v>114080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D8-4C24-B63B-4A0FDAD2C206}"/>
            </c:ext>
          </c:extLst>
        </c:ser>
        <c:ser>
          <c:idx val="3"/>
          <c:order val="3"/>
          <c:tx>
            <c:strRef>
              <c:f>Sheet1!$Y$94:$Y$96</c:f>
              <c:strCache>
                <c:ptCount val="3"/>
                <c:pt idx="0">
                  <c:v>Midnapore</c:v>
                </c:pt>
                <c:pt idx="1">
                  <c:v>Female</c:v>
                </c:pt>
                <c:pt idx="2">
                  <c:v>-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Sheet1!$U$97:$U$104</c:f>
              <c:strCache>
                <c:ptCount val="8"/>
                <c:pt idx="0">
                  <c:v>5-9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35-59</c:v>
                </c:pt>
                <c:pt idx="7">
                  <c:v>60+</c:v>
                </c:pt>
              </c:strCache>
            </c:strRef>
          </c:cat>
          <c:val>
            <c:numRef>
              <c:f>Sheet1!$Y$97:$Y$104</c:f>
              <c:numCache>
                <c:formatCode>General</c:formatCode>
                <c:ptCount val="8"/>
                <c:pt idx="0">
                  <c:v>121379</c:v>
                </c:pt>
                <c:pt idx="1">
                  <c:v>245104</c:v>
                </c:pt>
                <c:pt idx="2">
                  <c:v>167849</c:v>
                </c:pt>
                <c:pt idx="3">
                  <c:v>133593</c:v>
                </c:pt>
                <c:pt idx="4">
                  <c:v>97557</c:v>
                </c:pt>
                <c:pt idx="5">
                  <c:v>62185</c:v>
                </c:pt>
                <c:pt idx="6">
                  <c:v>118989</c:v>
                </c:pt>
                <c:pt idx="7">
                  <c:v>13895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D8-4C24-B63B-4A0FDAD2C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954160"/>
        <c:axId val="93694704"/>
      </c:lineChart>
      <c:catAx>
        <c:axId val="186595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94704"/>
        <c:crosses val="autoZero"/>
        <c:auto val="1"/>
        <c:lblAlgn val="ctr"/>
        <c:lblOffset val="100"/>
        <c:noMultiLvlLbl val="0"/>
      </c:catAx>
      <c:valAx>
        <c:axId val="9369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95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effectLst/>
              </a:rPr>
              <a:t>Number of Scholars (General Education) in West Bengal by district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Sheet1!$B$158</c:f>
              <c:strCache>
                <c:ptCount val="1"/>
                <c:pt idx="0">
                  <c:v>District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Sheet1!$C$158:$N$158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2E25-442C-A3A8-7C5EF3A82979}"/>
            </c:ext>
          </c:extLst>
        </c:ser>
        <c:ser>
          <c:idx val="1"/>
          <c:order val="1"/>
          <c:tx>
            <c:strRef>
              <c:f>Sheet1!$B$159</c:f>
              <c:strCache>
                <c:ptCount val="1"/>
                <c:pt idx="0">
                  <c:v>Burdwan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Sheet1!$C$159:$N$159</c:f>
              <c:numCache>
                <c:formatCode>General</c:formatCode>
                <c:ptCount val="12"/>
                <c:pt idx="0">
                  <c:v>482245</c:v>
                </c:pt>
                <c:pt idx="1">
                  <c:v>47575</c:v>
                </c:pt>
                <c:pt idx="2">
                  <c:v>219549</c:v>
                </c:pt>
                <c:pt idx="3">
                  <c:v>81524</c:v>
                </c:pt>
                <c:pt idx="4">
                  <c:v>53564</c:v>
                </c:pt>
                <c:pt idx="5">
                  <c:v>54587</c:v>
                </c:pt>
                <c:pt idx="6">
                  <c:v>222515</c:v>
                </c:pt>
                <c:pt idx="7">
                  <c:v>98710</c:v>
                </c:pt>
                <c:pt idx="8">
                  <c:v>535364</c:v>
                </c:pt>
                <c:pt idx="9">
                  <c:v>55871</c:v>
                </c:pt>
                <c:pt idx="10">
                  <c:v>227614</c:v>
                </c:pt>
                <c:pt idx="11">
                  <c:v>103948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25-442C-A3A8-7C5EF3A82979}"/>
            </c:ext>
          </c:extLst>
        </c:ser>
        <c:ser>
          <c:idx val="2"/>
          <c:order val="2"/>
          <c:tx>
            <c:strRef>
              <c:f>Sheet1!$B$160</c:f>
              <c:strCache>
                <c:ptCount val="1"/>
                <c:pt idx="0">
                  <c:v>Birbhum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Sheet1!$C$160:$N$160</c:f>
              <c:numCache>
                <c:formatCode>General</c:formatCode>
                <c:ptCount val="12"/>
                <c:pt idx="0">
                  <c:v>251626</c:v>
                </c:pt>
                <c:pt idx="1">
                  <c:v>26249</c:v>
                </c:pt>
                <c:pt idx="2">
                  <c:v>79871</c:v>
                </c:pt>
                <c:pt idx="3">
                  <c:v>40751</c:v>
                </c:pt>
                <c:pt idx="4">
                  <c:v>241706</c:v>
                </c:pt>
                <c:pt idx="5">
                  <c:v>26411</c:v>
                </c:pt>
                <c:pt idx="6">
                  <c:v>80482</c:v>
                </c:pt>
                <c:pt idx="7">
                  <c:v>43792</c:v>
                </c:pt>
                <c:pt idx="8">
                  <c:v>0</c:v>
                </c:pt>
                <c:pt idx="9">
                  <c:v>26249</c:v>
                </c:pt>
                <c:pt idx="10">
                  <c:v>81035</c:v>
                </c:pt>
                <c:pt idx="11">
                  <c:v>30472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25-442C-A3A8-7C5EF3A82979}"/>
            </c:ext>
          </c:extLst>
        </c:ser>
        <c:ser>
          <c:idx val="3"/>
          <c:order val="3"/>
          <c:tx>
            <c:strRef>
              <c:f>Sheet1!$B$161</c:f>
              <c:strCache>
                <c:ptCount val="1"/>
                <c:pt idx="0">
                  <c:v>Bankura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Sheet1!$C$161:$N$161</c:f>
              <c:numCache>
                <c:formatCode>General</c:formatCode>
                <c:ptCount val="12"/>
                <c:pt idx="0">
                  <c:v>321076</c:v>
                </c:pt>
                <c:pt idx="1">
                  <c:v>26931</c:v>
                </c:pt>
                <c:pt idx="2">
                  <c:v>97084</c:v>
                </c:pt>
                <c:pt idx="3">
                  <c:v>46074</c:v>
                </c:pt>
                <c:pt idx="4">
                  <c:v>242602</c:v>
                </c:pt>
                <c:pt idx="5">
                  <c:v>17065</c:v>
                </c:pt>
                <c:pt idx="6">
                  <c:v>98127</c:v>
                </c:pt>
                <c:pt idx="7">
                  <c:v>46518</c:v>
                </c:pt>
                <c:pt idx="8">
                  <c:v>243509</c:v>
                </c:pt>
                <c:pt idx="9">
                  <c:v>18090</c:v>
                </c:pt>
                <c:pt idx="10">
                  <c:v>98206</c:v>
                </c:pt>
                <c:pt idx="11">
                  <c:v>46329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25-442C-A3A8-7C5EF3A82979}"/>
            </c:ext>
          </c:extLst>
        </c:ser>
        <c:ser>
          <c:idx val="4"/>
          <c:order val="4"/>
          <c:tx>
            <c:strRef>
              <c:f>Sheet1!$B$162</c:f>
              <c:strCache>
                <c:ptCount val="1"/>
                <c:pt idx="0">
                  <c:v>Midnapur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Sheet1!$C$162:$N$162</c:f>
              <c:numCache>
                <c:formatCode>General</c:formatCode>
                <c:ptCount val="12"/>
                <c:pt idx="0">
                  <c:v>1354052</c:v>
                </c:pt>
                <c:pt idx="1">
                  <c:v>120354</c:v>
                </c:pt>
                <c:pt idx="2">
                  <c:v>281827</c:v>
                </c:pt>
                <c:pt idx="3">
                  <c:v>0</c:v>
                </c:pt>
                <c:pt idx="4">
                  <c:v>1511851</c:v>
                </c:pt>
                <c:pt idx="5">
                  <c:v>122694</c:v>
                </c:pt>
                <c:pt idx="6">
                  <c:v>285003</c:v>
                </c:pt>
                <c:pt idx="7">
                  <c:v>85045</c:v>
                </c:pt>
                <c:pt idx="8">
                  <c:v>1472265</c:v>
                </c:pt>
                <c:pt idx="9">
                  <c:v>130531</c:v>
                </c:pt>
                <c:pt idx="10">
                  <c:v>316879</c:v>
                </c:pt>
                <c:pt idx="11">
                  <c:v>117935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25-442C-A3A8-7C5EF3A82979}"/>
            </c:ext>
          </c:extLst>
        </c:ser>
        <c:ser>
          <c:idx val="5"/>
          <c:order val="5"/>
          <c:tx>
            <c:strRef>
              <c:f>Sheet1!$B$163</c:f>
              <c:strCache>
                <c:ptCount val="1"/>
                <c:pt idx="0">
                  <c:v>Howrah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Sheet1!$C$163:$N$163</c:f>
              <c:numCache>
                <c:formatCode>General</c:formatCode>
                <c:ptCount val="12"/>
                <c:pt idx="0">
                  <c:v>326905</c:v>
                </c:pt>
                <c:pt idx="1">
                  <c:v>88535</c:v>
                </c:pt>
                <c:pt idx="2">
                  <c:v>233932</c:v>
                </c:pt>
                <c:pt idx="3">
                  <c:v>71315</c:v>
                </c:pt>
                <c:pt idx="4">
                  <c:v>328905</c:v>
                </c:pt>
                <c:pt idx="5">
                  <c:v>95635</c:v>
                </c:pt>
                <c:pt idx="6">
                  <c:v>303875</c:v>
                </c:pt>
                <c:pt idx="7">
                  <c:v>72755</c:v>
                </c:pt>
                <c:pt idx="8">
                  <c:v>397202</c:v>
                </c:pt>
                <c:pt idx="9">
                  <c:v>79108</c:v>
                </c:pt>
                <c:pt idx="10">
                  <c:v>316116</c:v>
                </c:pt>
                <c:pt idx="11">
                  <c:v>81565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25-442C-A3A8-7C5EF3A82979}"/>
            </c:ext>
          </c:extLst>
        </c:ser>
        <c:ser>
          <c:idx val="6"/>
          <c:order val="6"/>
          <c:tx>
            <c:strRef>
              <c:f>Sheet1!$B$164</c:f>
              <c:strCache>
                <c:ptCount val="1"/>
                <c:pt idx="0">
                  <c:v>Hooghly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Sheet1!$C$164:$N$164</c:f>
              <c:numCache>
                <c:formatCode>General</c:formatCode>
                <c:ptCount val="12"/>
                <c:pt idx="0">
                  <c:v>533451</c:v>
                </c:pt>
                <c:pt idx="1">
                  <c:v>21800</c:v>
                </c:pt>
                <c:pt idx="2">
                  <c:v>203908</c:v>
                </c:pt>
                <c:pt idx="3">
                  <c:v>76767</c:v>
                </c:pt>
                <c:pt idx="4">
                  <c:v>548310</c:v>
                </c:pt>
                <c:pt idx="5">
                  <c:v>24159</c:v>
                </c:pt>
                <c:pt idx="6">
                  <c:v>216172</c:v>
                </c:pt>
                <c:pt idx="7">
                  <c:v>813190</c:v>
                </c:pt>
                <c:pt idx="8">
                  <c:v>563451</c:v>
                </c:pt>
                <c:pt idx="9">
                  <c:v>47935</c:v>
                </c:pt>
                <c:pt idx="10">
                  <c:v>208277</c:v>
                </c:pt>
                <c:pt idx="11">
                  <c:v>76868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25-442C-A3A8-7C5EF3A82979}"/>
            </c:ext>
          </c:extLst>
        </c:ser>
        <c:ser>
          <c:idx val="7"/>
          <c:order val="7"/>
          <c:tx>
            <c:strRef>
              <c:f>Sheet1!$B$165</c:f>
              <c:strCache>
                <c:ptCount val="1"/>
                <c:pt idx="0">
                  <c:v>N_24-Parganas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Sheet1!$C$165:$N$165</c:f>
              <c:numCache>
                <c:formatCode>General</c:formatCode>
                <c:ptCount val="12"/>
                <c:pt idx="0">
                  <c:v>498812</c:v>
                </c:pt>
                <c:pt idx="1">
                  <c:v>80840</c:v>
                </c:pt>
                <c:pt idx="2">
                  <c:v>317216</c:v>
                </c:pt>
                <c:pt idx="3">
                  <c:v>119266</c:v>
                </c:pt>
                <c:pt idx="4">
                  <c:v>568533</c:v>
                </c:pt>
                <c:pt idx="5">
                  <c:v>90273</c:v>
                </c:pt>
                <c:pt idx="6">
                  <c:v>334180</c:v>
                </c:pt>
                <c:pt idx="7">
                  <c:v>129840</c:v>
                </c:pt>
                <c:pt idx="8">
                  <c:v>618817</c:v>
                </c:pt>
                <c:pt idx="9">
                  <c:v>110510</c:v>
                </c:pt>
                <c:pt idx="10">
                  <c:v>346270</c:v>
                </c:pt>
                <c:pt idx="11">
                  <c:v>139880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25-442C-A3A8-7C5EF3A82979}"/>
            </c:ext>
          </c:extLst>
        </c:ser>
        <c:ser>
          <c:idx val="8"/>
          <c:order val="8"/>
          <c:tx>
            <c:strRef>
              <c:f>Sheet1!$B$166</c:f>
              <c:strCache>
                <c:ptCount val="1"/>
                <c:pt idx="0">
                  <c:v>S_24-Parganas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Sheet1!$C$166:$N$166</c:f>
              <c:numCache>
                <c:formatCode>General</c:formatCode>
                <c:ptCount val="12"/>
                <c:pt idx="0">
                  <c:v>577708</c:v>
                </c:pt>
                <c:pt idx="1">
                  <c:v>78487</c:v>
                </c:pt>
                <c:pt idx="2">
                  <c:v>197062</c:v>
                </c:pt>
                <c:pt idx="3">
                  <c:v>56099</c:v>
                </c:pt>
                <c:pt idx="4">
                  <c:v>600478</c:v>
                </c:pt>
                <c:pt idx="5">
                  <c:v>57221</c:v>
                </c:pt>
                <c:pt idx="6">
                  <c:v>201003</c:v>
                </c:pt>
                <c:pt idx="7">
                  <c:v>81484</c:v>
                </c:pt>
                <c:pt idx="8">
                  <c:v>675859</c:v>
                </c:pt>
                <c:pt idx="9">
                  <c:v>58365</c:v>
                </c:pt>
                <c:pt idx="10">
                  <c:v>205023</c:v>
                </c:pt>
                <c:pt idx="11">
                  <c:v>83088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25-442C-A3A8-7C5EF3A82979}"/>
            </c:ext>
          </c:extLst>
        </c:ser>
        <c:ser>
          <c:idx val="9"/>
          <c:order val="9"/>
          <c:tx>
            <c:strRef>
              <c:f>Sheet1!$B$167</c:f>
              <c:strCache>
                <c:ptCount val="1"/>
                <c:pt idx="0">
                  <c:v>Calcutta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Sheet1!$C$167:$N$167</c:f>
              <c:numCache>
                <c:formatCode>General</c:formatCode>
                <c:ptCount val="12"/>
                <c:pt idx="0">
                  <c:v>0</c:v>
                </c:pt>
                <c:pt idx="1">
                  <c:v>10192</c:v>
                </c:pt>
                <c:pt idx="2">
                  <c:v>130461</c:v>
                </c:pt>
                <c:pt idx="3">
                  <c:v>70531</c:v>
                </c:pt>
                <c:pt idx="4">
                  <c:v>0</c:v>
                </c:pt>
                <c:pt idx="5">
                  <c:v>11090</c:v>
                </c:pt>
                <c:pt idx="6">
                  <c:v>126311</c:v>
                </c:pt>
                <c:pt idx="7">
                  <c:v>71502</c:v>
                </c:pt>
                <c:pt idx="8">
                  <c:v>0</c:v>
                </c:pt>
                <c:pt idx="9">
                  <c:v>9534</c:v>
                </c:pt>
                <c:pt idx="10">
                  <c:v>129855</c:v>
                </c:pt>
                <c:pt idx="11">
                  <c:v>69532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25-442C-A3A8-7C5EF3A82979}"/>
            </c:ext>
          </c:extLst>
        </c:ser>
        <c:ser>
          <c:idx val="10"/>
          <c:order val="10"/>
          <c:tx>
            <c:strRef>
              <c:f>Sheet1!$B$168</c:f>
              <c:strCache>
                <c:ptCount val="1"/>
                <c:pt idx="0">
                  <c:v>Nadia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Sheet1!$C$168:$N$168</c:f>
              <c:numCache>
                <c:formatCode>General</c:formatCode>
                <c:ptCount val="12"/>
                <c:pt idx="0">
                  <c:v>450325</c:v>
                </c:pt>
                <c:pt idx="1">
                  <c:v>60770</c:v>
                </c:pt>
                <c:pt idx="2">
                  <c:v>84975</c:v>
                </c:pt>
                <c:pt idx="3">
                  <c:v>0</c:v>
                </c:pt>
                <c:pt idx="4">
                  <c:v>412513</c:v>
                </c:pt>
                <c:pt idx="5">
                  <c:v>63072</c:v>
                </c:pt>
                <c:pt idx="6">
                  <c:v>145126</c:v>
                </c:pt>
                <c:pt idx="7">
                  <c:v>70489</c:v>
                </c:pt>
                <c:pt idx="8">
                  <c:v>420221</c:v>
                </c:pt>
                <c:pt idx="9">
                  <c:v>66056</c:v>
                </c:pt>
                <c:pt idx="10">
                  <c:v>152294</c:v>
                </c:pt>
                <c:pt idx="11">
                  <c:v>74076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25-442C-A3A8-7C5EF3A82979}"/>
            </c:ext>
          </c:extLst>
        </c:ser>
        <c:ser>
          <c:idx val="11"/>
          <c:order val="11"/>
          <c:tx>
            <c:strRef>
              <c:f>Sheet1!$B$169</c:f>
              <c:strCache>
                <c:ptCount val="1"/>
                <c:pt idx="0">
                  <c:v>Murshidabad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Sheet1!$C$169:$N$169</c:f>
              <c:numCache>
                <c:formatCode>General</c:formatCode>
                <c:ptCount val="12"/>
                <c:pt idx="0">
                  <c:v>366890</c:v>
                </c:pt>
                <c:pt idx="1">
                  <c:v>28930</c:v>
                </c:pt>
                <c:pt idx="2">
                  <c:v>78268</c:v>
                </c:pt>
                <c:pt idx="3">
                  <c:v>43996</c:v>
                </c:pt>
                <c:pt idx="4">
                  <c:v>381351</c:v>
                </c:pt>
                <c:pt idx="5">
                  <c:v>30099</c:v>
                </c:pt>
                <c:pt idx="6">
                  <c:v>86000</c:v>
                </c:pt>
                <c:pt idx="7">
                  <c:v>43002</c:v>
                </c:pt>
                <c:pt idx="8">
                  <c:v>344377</c:v>
                </c:pt>
                <c:pt idx="9">
                  <c:v>31128</c:v>
                </c:pt>
                <c:pt idx="10">
                  <c:v>86815</c:v>
                </c:pt>
                <c:pt idx="11">
                  <c:v>44176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E25-442C-A3A8-7C5EF3A82979}"/>
            </c:ext>
          </c:extLst>
        </c:ser>
        <c:ser>
          <c:idx val="12"/>
          <c:order val="12"/>
          <c:tx>
            <c:strRef>
              <c:f>Sheet1!$B$170</c:f>
              <c:strCache>
                <c:ptCount val="1"/>
                <c:pt idx="0">
                  <c:v>West Dinajpur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Sheet1!$C$170:$N$170</c:f>
              <c:numCache>
                <c:formatCode>General</c:formatCode>
                <c:ptCount val="12"/>
                <c:pt idx="0">
                  <c:v>297487</c:v>
                </c:pt>
                <c:pt idx="1">
                  <c:v>26011</c:v>
                </c:pt>
                <c:pt idx="2">
                  <c:v>41300</c:v>
                </c:pt>
                <c:pt idx="3">
                  <c:v>32332</c:v>
                </c:pt>
                <c:pt idx="4">
                  <c:v>297949</c:v>
                </c:pt>
                <c:pt idx="5">
                  <c:v>18269</c:v>
                </c:pt>
                <c:pt idx="6">
                  <c:v>72502</c:v>
                </c:pt>
                <c:pt idx="7">
                  <c:v>27892</c:v>
                </c:pt>
                <c:pt idx="8">
                  <c:v>284693</c:v>
                </c:pt>
                <c:pt idx="9">
                  <c:v>20928</c:v>
                </c:pt>
                <c:pt idx="10">
                  <c:v>82595</c:v>
                </c:pt>
                <c:pt idx="11">
                  <c:v>28080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E25-442C-A3A8-7C5EF3A82979}"/>
            </c:ext>
          </c:extLst>
        </c:ser>
        <c:ser>
          <c:idx val="13"/>
          <c:order val="13"/>
          <c:tx>
            <c:strRef>
              <c:f>Sheet1!$B$171</c:f>
              <c:strCache>
                <c:ptCount val="1"/>
                <c:pt idx="0">
                  <c:v>Malda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Sheet1!$C$171:$N$171</c:f>
              <c:numCache>
                <c:formatCode>General</c:formatCode>
                <c:ptCount val="12"/>
                <c:pt idx="0">
                  <c:v>298188</c:v>
                </c:pt>
                <c:pt idx="1">
                  <c:v>25544</c:v>
                </c:pt>
                <c:pt idx="2">
                  <c:v>62723</c:v>
                </c:pt>
                <c:pt idx="3">
                  <c:v>17629</c:v>
                </c:pt>
                <c:pt idx="4">
                  <c:v>211603</c:v>
                </c:pt>
                <c:pt idx="5">
                  <c:v>335046</c:v>
                </c:pt>
                <c:pt idx="6">
                  <c:v>74409</c:v>
                </c:pt>
                <c:pt idx="7">
                  <c:v>46074</c:v>
                </c:pt>
                <c:pt idx="9">
                  <c:v>27474</c:v>
                </c:pt>
                <c:pt idx="10">
                  <c:v>99192</c:v>
                </c:pt>
                <c:pt idx="11">
                  <c:v>46554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E25-442C-A3A8-7C5EF3A82979}"/>
            </c:ext>
          </c:extLst>
        </c:ser>
        <c:ser>
          <c:idx val="14"/>
          <c:order val="14"/>
          <c:tx>
            <c:strRef>
              <c:f>Sheet1!$B$172</c:f>
              <c:strCache>
                <c:ptCount val="1"/>
                <c:pt idx="0">
                  <c:v>Jalpaiguri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Sheet1!$C$172:$N$172</c:f>
              <c:numCache>
                <c:formatCode>General</c:formatCode>
                <c:ptCount val="12"/>
                <c:pt idx="0">
                  <c:v>218607</c:v>
                </c:pt>
                <c:pt idx="1">
                  <c:v>12510</c:v>
                </c:pt>
                <c:pt idx="2">
                  <c:v>41492</c:v>
                </c:pt>
                <c:pt idx="3">
                  <c:v>26243</c:v>
                </c:pt>
                <c:pt idx="4">
                  <c:v>243246</c:v>
                </c:pt>
                <c:pt idx="5">
                  <c:v>14660</c:v>
                </c:pt>
                <c:pt idx="6">
                  <c:v>56200</c:v>
                </c:pt>
                <c:pt idx="7">
                  <c:v>30550</c:v>
                </c:pt>
                <c:pt idx="8">
                  <c:v>255304</c:v>
                </c:pt>
                <c:pt idx="9">
                  <c:v>15002</c:v>
                </c:pt>
                <c:pt idx="10">
                  <c:v>56367</c:v>
                </c:pt>
                <c:pt idx="11">
                  <c:v>30662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E25-442C-A3A8-7C5EF3A82979}"/>
            </c:ext>
          </c:extLst>
        </c:ser>
        <c:ser>
          <c:idx val="15"/>
          <c:order val="15"/>
          <c:tx>
            <c:strRef>
              <c:f>Sheet1!$B$173</c:f>
              <c:strCache>
                <c:ptCount val="1"/>
                <c:pt idx="0">
                  <c:v>Darjeeling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Sheet1!$C$173:$N$173</c:f>
              <c:numCache>
                <c:formatCode>General</c:formatCode>
                <c:ptCount val="12"/>
                <c:pt idx="0">
                  <c:v>169047</c:v>
                </c:pt>
                <c:pt idx="1">
                  <c:v>11141</c:v>
                </c:pt>
                <c:pt idx="2">
                  <c:v>39802</c:v>
                </c:pt>
                <c:pt idx="3">
                  <c:v>20049</c:v>
                </c:pt>
                <c:pt idx="4">
                  <c:v>169047</c:v>
                </c:pt>
                <c:pt idx="5">
                  <c:v>11141</c:v>
                </c:pt>
                <c:pt idx="6">
                  <c:v>39803</c:v>
                </c:pt>
                <c:pt idx="7">
                  <c:v>20049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E25-442C-A3A8-7C5EF3A82979}"/>
            </c:ext>
          </c:extLst>
        </c:ser>
        <c:ser>
          <c:idx val="16"/>
          <c:order val="16"/>
          <c:tx>
            <c:strRef>
              <c:f>Sheet1!$B$174</c:f>
              <c:strCache>
                <c:ptCount val="1"/>
                <c:pt idx="0">
                  <c:v>Coachbehar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Sheet1!$C$174:$N$174</c:f>
              <c:numCache>
                <c:formatCode>General</c:formatCode>
                <c:ptCount val="12"/>
                <c:pt idx="0">
                  <c:v>262224</c:v>
                </c:pt>
                <c:pt idx="1">
                  <c:v>18113</c:v>
                </c:pt>
                <c:pt idx="2">
                  <c:v>46577</c:v>
                </c:pt>
                <c:pt idx="3">
                  <c:v>29114</c:v>
                </c:pt>
                <c:pt idx="4">
                  <c:v>262944</c:v>
                </c:pt>
                <c:pt idx="5">
                  <c:v>17425</c:v>
                </c:pt>
                <c:pt idx="6">
                  <c:v>47265</c:v>
                </c:pt>
                <c:pt idx="7">
                  <c:v>30884</c:v>
                </c:pt>
                <c:pt idx="8">
                  <c:v>267980</c:v>
                </c:pt>
                <c:pt idx="9">
                  <c:v>17122</c:v>
                </c:pt>
                <c:pt idx="10">
                  <c:v>56553</c:v>
                </c:pt>
                <c:pt idx="11">
                  <c:v>30894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E25-442C-A3A8-7C5EF3A82979}"/>
            </c:ext>
          </c:extLst>
        </c:ser>
        <c:ser>
          <c:idx val="17"/>
          <c:order val="17"/>
          <c:tx>
            <c:strRef>
              <c:f>Sheet1!$B$175</c:f>
              <c:strCache>
                <c:ptCount val="1"/>
                <c:pt idx="0">
                  <c:v>Purulia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Sheet1!$C$156:$N$157</c:f>
              <c:multiLvlStrCache>
                <c:ptCount val="12"/>
                <c:lvl>
                  <c:pt idx="0">
                    <c:v>Primary</c:v>
                  </c:pt>
                  <c:pt idx="1">
                    <c:v>Middle</c:v>
                  </c:pt>
                  <c:pt idx="2">
                    <c:v>High</c:v>
                  </c:pt>
                  <c:pt idx="3">
                    <c:v>High Secendary</c:v>
                  </c:pt>
                  <c:pt idx="4">
                    <c:v>Primary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High Secendary</c:v>
                  </c:pt>
                  <c:pt idx="8">
                    <c:v>Primary</c:v>
                  </c:pt>
                  <c:pt idx="9">
                    <c:v>Middle</c:v>
                  </c:pt>
                  <c:pt idx="10">
                    <c:v>High</c:v>
                  </c:pt>
                  <c:pt idx="11">
                    <c:v>High Secendary</c:v>
                  </c:pt>
                </c:lvl>
                <c:lvl>
                  <c:pt idx="0">
                    <c:v>1987-'88</c:v>
                  </c:pt>
                  <c:pt idx="4">
                    <c:v>1988-'89</c:v>
                  </c:pt>
                  <c:pt idx="8">
                    <c:v>1989-'90</c:v>
                  </c:pt>
                </c:lvl>
              </c:multiLvlStrCache>
            </c:multiLvlStrRef>
          </c:cat>
          <c:val>
            <c:numRef>
              <c:f>Sheet1!$C$175:$N$175</c:f>
              <c:numCache>
                <c:formatCode>General</c:formatCode>
                <c:ptCount val="12"/>
                <c:pt idx="0">
                  <c:v>206616</c:v>
                </c:pt>
                <c:pt idx="1">
                  <c:v>25947</c:v>
                </c:pt>
                <c:pt idx="2">
                  <c:v>49936</c:v>
                </c:pt>
                <c:pt idx="3">
                  <c:v>20926</c:v>
                </c:pt>
                <c:pt idx="4">
                  <c:v>210321</c:v>
                </c:pt>
                <c:pt idx="5">
                  <c:v>27086</c:v>
                </c:pt>
                <c:pt idx="6">
                  <c:v>50827</c:v>
                </c:pt>
                <c:pt idx="7">
                  <c:v>27819</c:v>
                </c:pt>
                <c:pt idx="8">
                  <c:v>227906</c:v>
                </c:pt>
                <c:pt idx="9">
                  <c:v>15508</c:v>
                </c:pt>
                <c:pt idx="10">
                  <c:v>51144</c:v>
                </c:pt>
                <c:pt idx="11">
                  <c:v>30580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E25-442C-A3A8-7C5EF3A82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7912016"/>
        <c:axId val="147485872"/>
      </c:barChart>
      <c:catAx>
        <c:axId val="198791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85872"/>
        <c:crosses val="autoZero"/>
        <c:auto val="1"/>
        <c:lblAlgn val="ctr"/>
        <c:lblOffset val="100"/>
        <c:noMultiLvlLbl val="0"/>
      </c:catAx>
      <c:valAx>
        <c:axId val="14748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1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Sheet1!$D$233</c:f>
              <c:strCache>
                <c:ptCount val="1"/>
                <c:pt idx="0">
                  <c:v>Name of the exam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Sheet1!$E$232:$P$232</c:f>
              <c:numCache>
                <c:formatCode>General</c:formatCode>
                <c:ptCount val="12"/>
                <c:pt idx="0">
                  <c:v>1985</c:v>
                </c:pt>
                <c:pt idx="2">
                  <c:v>1986</c:v>
                </c:pt>
                <c:pt idx="4">
                  <c:v>1987</c:v>
                </c:pt>
                <c:pt idx="6">
                  <c:v>1988</c:v>
                </c:pt>
                <c:pt idx="8">
                  <c:v>1989</c:v>
                </c:pt>
                <c:pt idx="10">
                  <c:v>1990</c:v>
                </c:pt>
              </c:numCache>
            </c:numRef>
          </c:cat>
          <c:val>
            <c:numRef>
              <c:f>Sheet1!$E$233:$P$233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2-4B63-874F-AAFF7808185C}"/>
            </c:ext>
          </c:extLst>
        </c:ser>
        <c:ser>
          <c:idx val="1"/>
          <c:order val="1"/>
          <c:tx>
            <c:strRef>
              <c:f>Sheet1!$D$234</c:f>
              <c:strCache>
                <c:ptCount val="1"/>
                <c:pt idx="0">
                  <c:v>B.A. Part-I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Sheet1!$E$232:$P$232</c:f>
              <c:numCache>
                <c:formatCode>General</c:formatCode>
                <c:ptCount val="12"/>
                <c:pt idx="0">
                  <c:v>1985</c:v>
                </c:pt>
                <c:pt idx="2">
                  <c:v>1986</c:v>
                </c:pt>
                <c:pt idx="4">
                  <c:v>1987</c:v>
                </c:pt>
                <c:pt idx="6">
                  <c:v>1988</c:v>
                </c:pt>
                <c:pt idx="8">
                  <c:v>1989</c:v>
                </c:pt>
                <c:pt idx="10">
                  <c:v>1990</c:v>
                </c:pt>
              </c:numCache>
            </c:numRef>
          </c:cat>
          <c:val>
            <c:numRef>
              <c:f>Sheet1!$E$234:$P$234</c:f>
              <c:numCache>
                <c:formatCode>General</c:formatCode>
                <c:ptCount val="12"/>
                <c:pt idx="0">
                  <c:v>6656</c:v>
                </c:pt>
                <c:pt idx="1">
                  <c:v>4450</c:v>
                </c:pt>
                <c:pt idx="2">
                  <c:v>7859</c:v>
                </c:pt>
                <c:pt idx="3">
                  <c:v>4952</c:v>
                </c:pt>
                <c:pt idx="4">
                  <c:v>7455</c:v>
                </c:pt>
                <c:pt idx="5">
                  <c:v>4621</c:v>
                </c:pt>
                <c:pt idx="6">
                  <c:v>7930</c:v>
                </c:pt>
                <c:pt idx="7">
                  <c:v>5072</c:v>
                </c:pt>
                <c:pt idx="8">
                  <c:v>7816</c:v>
                </c:pt>
                <c:pt idx="9">
                  <c:v>2729</c:v>
                </c:pt>
                <c:pt idx="10">
                  <c:v>7933</c:v>
                </c:pt>
                <c:pt idx="11">
                  <c:v>6155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32-4B63-874F-AAFF7808185C}"/>
            </c:ext>
          </c:extLst>
        </c:ser>
        <c:ser>
          <c:idx val="2"/>
          <c:order val="2"/>
          <c:tx>
            <c:strRef>
              <c:f>Sheet1!$D$235</c:f>
              <c:strCache>
                <c:ptCount val="1"/>
                <c:pt idx="0">
                  <c:v>B.Sc. Part-I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Sheet1!$E$232:$P$232</c:f>
              <c:numCache>
                <c:formatCode>General</c:formatCode>
                <c:ptCount val="12"/>
                <c:pt idx="0">
                  <c:v>1985</c:v>
                </c:pt>
                <c:pt idx="2">
                  <c:v>1986</c:v>
                </c:pt>
                <c:pt idx="4">
                  <c:v>1987</c:v>
                </c:pt>
                <c:pt idx="6">
                  <c:v>1988</c:v>
                </c:pt>
                <c:pt idx="8">
                  <c:v>1989</c:v>
                </c:pt>
                <c:pt idx="10">
                  <c:v>1990</c:v>
                </c:pt>
              </c:numCache>
            </c:numRef>
          </c:cat>
          <c:val>
            <c:numRef>
              <c:f>Sheet1!$E$235:$P$235</c:f>
              <c:numCache>
                <c:formatCode>General</c:formatCode>
                <c:ptCount val="12"/>
                <c:pt idx="0">
                  <c:v>4997</c:v>
                </c:pt>
                <c:pt idx="1">
                  <c:v>2601</c:v>
                </c:pt>
                <c:pt idx="2">
                  <c:v>5459</c:v>
                </c:pt>
                <c:pt idx="3">
                  <c:v>2595</c:v>
                </c:pt>
                <c:pt idx="4">
                  <c:v>5788</c:v>
                </c:pt>
                <c:pt idx="5">
                  <c:v>2885</c:v>
                </c:pt>
                <c:pt idx="6">
                  <c:v>5093</c:v>
                </c:pt>
                <c:pt idx="7">
                  <c:v>3142</c:v>
                </c:pt>
                <c:pt idx="8">
                  <c:v>5354</c:v>
                </c:pt>
                <c:pt idx="9">
                  <c:v>1098</c:v>
                </c:pt>
                <c:pt idx="10">
                  <c:v>5675</c:v>
                </c:pt>
                <c:pt idx="11">
                  <c:v>3044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32-4B63-874F-AAFF7808185C}"/>
            </c:ext>
          </c:extLst>
        </c:ser>
        <c:ser>
          <c:idx val="3"/>
          <c:order val="3"/>
          <c:tx>
            <c:strRef>
              <c:f>Sheet1!$D$236</c:f>
              <c:strCache>
                <c:ptCount val="1"/>
                <c:pt idx="0">
                  <c:v>B.Com. Part-I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Sheet1!$E$232:$P$232</c:f>
              <c:numCache>
                <c:formatCode>General</c:formatCode>
                <c:ptCount val="12"/>
                <c:pt idx="0">
                  <c:v>1985</c:v>
                </c:pt>
                <c:pt idx="2">
                  <c:v>1986</c:v>
                </c:pt>
                <c:pt idx="4">
                  <c:v>1987</c:v>
                </c:pt>
                <c:pt idx="6">
                  <c:v>1988</c:v>
                </c:pt>
                <c:pt idx="8">
                  <c:v>1989</c:v>
                </c:pt>
                <c:pt idx="10">
                  <c:v>1990</c:v>
                </c:pt>
              </c:numCache>
            </c:numRef>
          </c:cat>
          <c:val>
            <c:numRef>
              <c:f>Sheet1!$E$236:$P$236</c:f>
              <c:numCache>
                <c:formatCode>General</c:formatCode>
                <c:ptCount val="12"/>
                <c:pt idx="0">
                  <c:v>7078</c:v>
                </c:pt>
                <c:pt idx="1">
                  <c:v>4344</c:v>
                </c:pt>
                <c:pt idx="2">
                  <c:v>7225</c:v>
                </c:pt>
                <c:pt idx="3">
                  <c:v>5272</c:v>
                </c:pt>
                <c:pt idx="4">
                  <c:v>8250</c:v>
                </c:pt>
                <c:pt idx="5">
                  <c:v>5347</c:v>
                </c:pt>
                <c:pt idx="6">
                  <c:v>7787</c:v>
                </c:pt>
                <c:pt idx="7">
                  <c:v>4452</c:v>
                </c:pt>
                <c:pt idx="8">
                  <c:v>8940</c:v>
                </c:pt>
                <c:pt idx="9">
                  <c:v>6051</c:v>
                </c:pt>
                <c:pt idx="10">
                  <c:v>9836</c:v>
                </c:pt>
                <c:pt idx="11">
                  <c:v>7341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32-4B63-874F-AAFF7808185C}"/>
            </c:ext>
          </c:extLst>
        </c:ser>
        <c:ser>
          <c:idx val="4"/>
          <c:order val="4"/>
          <c:tx>
            <c:strRef>
              <c:f>Sheet1!$D$237</c:f>
              <c:strCache>
                <c:ptCount val="1"/>
                <c:pt idx="0">
                  <c:v>B.A. Part-II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Sheet1!$E$232:$P$232</c:f>
              <c:numCache>
                <c:formatCode>General</c:formatCode>
                <c:ptCount val="12"/>
                <c:pt idx="0">
                  <c:v>1985</c:v>
                </c:pt>
                <c:pt idx="2">
                  <c:v>1986</c:v>
                </c:pt>
                <c:pt idx="4">
                  <c:v>1987</c:v>
                </c:pt>
                <c:pt idx="6">
                  <c:v>1988</c:v>
                </c:pt>
                <c:pt idx="8">
                  <c:v>1989</c:v>
                </c:pt>
                <c:pt idx="10">
                  <c:v>1990</c:v>
                </c:pt>
              </c:numCache>
            </c:numRef>
          </c:cat>
          <c:val>
            <c:numRef>
              <c:f>Sheet1!$E$237:$P$237</c:f>
              <c:numCache>
                <c:formatCode>General</c:formatCode>
                <c:ptCount val="12"/>
                <c:pt idx="0">
                  <c:v>4177</c:v>
                </c:pt>
                <c:pt idx="1">
                  <c:v>2918</c:v>
                </c:pt>
                <c:pt idx="2">
                  <c:v>4863</c:v>
                </c:pt>
                <c:pt idx="3">
                  <c:v>3472</c:v>
                </c:pt>
                <c:pt idx="4">
                  <c:v>5361</c:v>
                </c:pt>
                <c:pt idx="5">
                  <c:v>3680</c:v>
                </c:pt>
                <c:pt idx="6">
                  <c:v>5848</c:v>
                </c:pt>
                <c:pt idx="7">
                  <c:v>4128</c:v>
                </c:pt>
                <c:pt idx="8">
                  <c:v>5727</c:v>
                </c:pt>
                <c:pt idx="9">
                  <c:v>4131</c:v>
                </c:pt>
                <c:pt idx="10">
                  <c:v>5502</c:v>
                </c:pt>
                <c:pt idx="11">
                  <c:v>4242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32-4B63-874F-AAFF7808185C}"/>
            </c:ext>
          </c:extLst>
        </c:ser>
        <c:ser>
          <c:idx val="5"/>
          <c:order val="5"/>
          <c:tx>
            <c:strRef>
              <c:f>Sheet1!$D$238</c:f>
              <c:strCache>
                <c:ptCount val="1"/>
                <c:pt idx="0">
                  <c:v>B.Sc. Part-II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Sheet1!$E$232:$P$232</c:f>
              <c:numCache>
                <c:formatCode>General</c:formatCode>
                <c:ptCount val="12"/>
                <c:pt idx="0">
                  <c:v>1985</c:v>
                </c:pt>
                <c:pt idx="2">
                  <c:v>1986</c:v>
                </c:pt>
                <c:pt idx="4">
                  <c:v>1987</c:v>
                </c:pt>
                <c:pt idx="6">
                  <c:v>1988</c:v>
                </c:pt>
                <c:pt idx="8">
                  <c:v>1989</c:v>
                </c:pt>
                <c:pt idx="10">
                  <c:v>1990</c:v>
                </c:pt>
              </c:numCache>
            </c:numRef>
          </c:cat>
          <c:val>
            <c:numRef>
              <c:f>Sheet1!$E$238:$P$238</c:f>
              <c:numCache>
                <c:formatCode>General</c:formatCode>
                <c:ptCount val="12"/>
                <c:pt idx="0">
                  <c:v>3297</c:v>
                </c:pt>
                <c:pt idx="1">
                  <c:v>2788</c:v>
                </c:pt>
                <c:pt idx="2">
                  <c:v>2975</c:v>
                </c:pt>
                <c:pt idx="3">
                  <c:v>2550</c:v>
                </c:pt>
                <c:pt idx="4">
                  <c:v>2712</c:v>
                </c:pt>
                <c:pt idx="5">
                  <c:v>2483</c:v>
                </c:pt>
                <c:pt idx="6">
                  <c:v>3233</c:v>
                </c:pt>
                <c:pt idx="7">
                  <c:v>2908</c:v>
                </c:pt>
                <c:pt idx="8">
                  <c:v>3617</c:v>
                </c:pt>
                <c:pt idx="9">
                  <c:v>3227</c:v>
                </c:pt>
                <c:pt idx="10">
                  <c:v>2901</c:v>
                </c:pt>
                <c:pt idx="11">
                  <c:v>2608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32-4B63-874F-AAFF7808185C}"/>
            </c:ext>
          </c:extLst>
        </c:ser>
        <c:ser>
          <c:idx val="6"/>
          <c:order val="6"/>
          <c:tx>
            <c:strRef>
              <c:f>Sheet1!$D$239</c:f>
              <c:strCache>
                <c:ptCount val="1"/>
                <c:pt idx="0">
                  <c:v>B.Com. Part-II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Sheet1!$E$232:$P$232</c:f>
              <c:numCache>
                <c:formatCode>General</c:formatCode>
                <c:ptCount val="12"/>
                <c:pt idx="0">
                  <c:v>1985</c:v>
                </c:pt>
                <c:pt idx="2">
                  <c:v>1986</c:v>
                </c:pt>
                <c:pt idx="4">
                  <c:v>1987</c:v>
                </c:pt>
                <c:pt idx="6">
                  <c:v>1988</c:v>
                </c:pt>
                <c:pt idx="8">
                  <c:v>1989</c:v>
                </c:pt>
                <c:pt idx="10">
                  <c:v>1990</c:v>
                </c:pt>
              </c:numCache>
            </c:numRef>
          </c:cat>
          <c:val>
            <c:numRef>
              <c:f>Sheet1!$E$239:$P$239</c:f>
              <c:numCache>
                <c:formatCode>General</c:formatCode>
                <c:ptCount val="12"/>
                <c:pt idx="0">
                  <c:v>3788</c:v>
                </c:pt>
                <c:pt idx="1">
                  <c:v>2063</c:v>
                </c:pt>
                <c:pt idx="2">
                  <c:v>34416</c:v>
                </c:pt>
                <c:pt idx="3">
                  <c:v>2691</c:v>
                </c:pt>
                <c:pt idx="4">
                  <c:v>4502</c:v>
                </c:pt>
                <c:pt idx="5">
                  <c:v>2983</c:v>
                </c:pt>
                <c:pt idx="6">
                  <c:v>5644</c:v>
                </c:pt>
                <c:pt idx="7">
                  <c:v>3647</c:v>
                </c:pt>
                <c:pt idx="8">
                  <c:v>5256</c:v>
                </c:pt>
                <c:pt idx="9">
                  <c:v>3848</c:v>
                </c:pt>
                <c:pt idx="10">
                  <c:v>5074</c:v>
                </c:pt>
                <c:pt idx="11">
                  <c:v>3549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32-4B63-874F-AAFF7808185C}"/>
            </c:ext>
          </c:extLst>
        </c:ser>
        <c:ser>
          <c:idx val="7"/>
          <c:order val="7"/>
          <c:tx>
            <c:strRef>
              <c:f>Sheet1!$D$240</c:f>
              <c:strCache>
                <c:ptCount val="1"/>
                <c:pt idx="0">
                  <c:v>B.A. Pass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Sheet1!$E$232:$P$232</c:f>
              <c:numCache>
                <c:formatCode>General</c:formatCode>
                <c:ptCount val="12"/>
                <c:pt idx="0">
                  <c:v>1985</c:v>
                </c:pt>
                <c:pt idx="2">
                  <c:v>1986</c:v>
                </c:pt>
                <c:pt idx="4">
                  <c:v>1987</c:v>
                </c:pt>
                <c:pt idx="6">
                  <c:v>1988</c:v>
                </c:pt>
                <c:pt idx="8">
                  <c:v>1989</c:v>
                </c:pt>
                <c:pt idx="10">
                  <c:v>1990</c:v>
                </c:pt>
              </c:numCache>
            </c:numRef>
          </c:cat>
          <c:val>
            <c:numRef>
              <c:f>Sheet1!$E$240:$P$240</c:f>
              <c:numCache>
                <c:formatCode>General</c:formatCode>
                <c:ptCount val="12"/>
                <c:pt idx="0">
                  <c:v>34460</c:v>
                </c:pt>
                <c:pt idx="1">
                  <c:v>18051</c:v>
                </c:pt>
                <c:pt idx="2">
                  <c:v>33793</c:v>
                </c:pt>
                <c:pt idx="3">
                  <c:v>16608</c:v>
                </c:pt>
                <c:pt idx="4">
                  <c:v>36294</c:v>
                </c:pt>
                <c:pt idx="5">
                  <c:v>16110</c:v>
                </c:pt>
                <c:pt idx="6">
                  <c:v>28818</c:v>
                </c:pt>
                <c:pt idx="7">
                  <c:v>13799</c:v>
                </c:pt>
                <c:pt idx="8">
                  <c:v>31330</c:v>
                </c:pt>
                <c:pt idx="9">
                  <c:v>14164</c:v>
                </c:pt>
                <c:pt idx="10">
                  <c:v>34302</c:v>
                </c:pt>
                <c:pt idx="11">
                  <c:v>15925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32-4B63-874F-AAFF7808185C}"/>
            </c:ext>
          </c:extLst>
        </c:ser>
        <c:ser>
          <c:idx val="8"/>
          <c:order val="8"/>
          <c:tx>
            <c:strRef>
              <c:f>Sheet1!$D$241</c:f>
              <c:strCache>
                <c:ptCount val="1"/>
                <c:pt idx="0">
                  <c:v>B.Sc. Pass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Sheet1!$E$232:$P$232</c:f>
              <c:numCache>
                <c:formatCode>General</c:formatCode>
                <c:ptCount val="12"/>
                <c:pt idx="0">
                  <c:v>1985</c:v>
                </c:pt>
                <c:pt idx="2">
                  <c:v>1986</c:v>
                </c:pt>
                <c:pt idx="4">
                  <c:v>1987</c:v>
                </c:pt>
                <c:pt idx="6">
                  <c:v>1988</c:v>
                </c:pt>
                <c:pt idx="8">
                  <c:v>1989</c:v>
                </c:pt>
                <c:pt idx="10">
                  <c:v>1990</c:v>
                </c:pt>
              </c:numCache>
            </c:numRef>
          </c:cat>
          <c:val>
            <c:numRef>
              <c:f>Sheet1!$E$241:$P$241</c:f>
              <c:numCache>
                <c:formatCode>General</c:formatCode>
                <c:ptCount val="12"/>
                <c:pt idx="0">
                  <c:v>16395</c:v>
                </c:pt>
                <c:pt idx="1">
                  <c:v>8574</c:v>
                </c:pt>
                <c:pt idx="2">
                  <c:v>0</c:v>
                </c:pt>
                <c:pt idx="3">
                  <c:v>0</c:v>
                </c:pt>
                <c:pt idx="4">
                  <c:v>15454</c:v>
                </c:pt>
                <c:pt idx="5">
                  <c:v>6928</c:v>
                </c:pt>
                <c:pt idx="6">
                  <c:v>19772</c:v>
                </c:pt>
                <c:pt idx="7">
                  <c:v>6728</c:v>
                </c:pt>
                <c:pt idx="8">
                  <c:v>13219</c:v>
                </c:pt>
                <c:pt idx="9">
                  <c:v>6335</c:v>
                </c:pt>
                <c:pt idx="10">
                  <c:v>11757</c:v>
                </c:pt>
                <c:pt idx="11">
                  <c:v>5691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32-4B63-874F-AAFF7808185C}"/>
            </c:ext>
          </c:extLst>
        </c:ser>
        <c:ser>
          <c:idx val="9"/>
          <c:order val="9"/>
          <c:tx>
            <c:strRef>
              <c:f>Sheet1!$D$242</c:f>
              <c:strCache>
                <c:ptCount val="1"/>
                <c:pt idx="0">
                  <c:v>B.Com. Pass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Sheet1!$E$232:$P$232</c:f>
              <c:numCache>
                <c:formatCode>General</c:formatCode>
                <c:ptCount val="12"/>
                <c:pt idx="0">
                  <c:v>1985</c:v>
                </c:pt>
                <c:pt idx="2">
                  <c:v>1986</c:v>
                </c:pt>
                <c:pt idx="4">
                  <c:v>1987</c:v>
                </c:pt>
                <c:pt idx="6">
                  <c:v>1988</c:v>
                </c:pt>
                <c:pt idx="8">
                  <c:v>1989</c:v>
                </c:pt>
                <c:pt idx="10">
                  <c:v>1990</c:v>
                </c:pt>
              </c:numCache>
            </c:numRef>
          </c:cat>
          <c:val>
            <c:numRef>
              <c:f>Sheet1!$E$242:$P$242</c:f>
              <c:numCache>
                <c:formatCode>General</c:formatCode>
                <c:ptCount val="12"/>
                <c:pt idx="0">
                  <c:v>28829</c:v>
                </c:pt>
                <c:pt idx="1">
                  <c:v>6947</c:v>
                </c:pt>
                <c:pt idx="2">
                  <c:v>32495</c:v>
                </c:pt>
                <c:pt idx="3">
                  <c:v>14888</c:v>
                </c:pt>
                <c:pt idx="4">
                  <c:v>29001</c:v>
                </c:pt>
                <c:pt idx="5">
                  <c:v>6533</c:v>
                </c:pt>
                <c:pt idx="6">
                  <c:v>25053</c:v>
                </c:pt>
                <c:pt idx="7">
                  <c:v>7999</c:v>
                </c:pt>
                <c:pt idx="8">
                  <c:v>24932</c:v>
                </c:pt>
                <c:pt idx="9">
                  <c:v>6026</c:v>
                </c:pt>
                <c:pt idx="10">
                  <c:v>25707</c:v>
                </c:pt>
                <c:pt idx="11">
                  <c:v>7211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32-4B63-874F-AAFF78081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168720"/>
        <c:axId val="220434800"/>
      </c:barChart>
      <c:catAx>
        <c:axId val="22016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34800"/>
        <c:crosses val="autoZero"/>
        <c:auto val="1"/>
        <c:lblAlgn val="ctr"/>
        <c:lblOffset val="100"/>
        <c:noMultiLvlLbl val="0"/>
      </c:catAx>
      <c:valAx>
        <c:axId val="2204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16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Percentage over total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Sheet1!$D$113</c:f>
              <c:strCache>
                <c:ptCount val="1"/>
                <c:pt idx="0">
                  <c:v>Percentage over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Sheet1!$B$114:$B$122</c:f>
              <c:strCache>
                <c:ptCount val="9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35-59</c:v>
                </c:pt>
                <c:pt idx="8">
                  <c:v>60+</c:v>
                </c:pt>
              </c:strCache>
            </c:strRef>
          </c:cat>
          <c:val>
            <c:numRef>
              <c:f>Sheet1!$D$114:$D$122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10.477971622591509</c:v>
                </c:pt>
                <c:pt idx="2">
                  <c:v>18.593919652551573</c:v>
                </c:pt>
                <c:pt idx="3">
                  <c:v>15.542244060435415</c:v>
                </c:pt>
                <c:pt idx="4">
                  <c:v>13.847558843556193</c:v>
                </c:pt>
                <c:pt idx="5">
                  <c:v>10.956219290012697</c:v>
                </c:pt>
                <c:pt idx="6">
                  <c:v>7.3365814608292386</c:v>
                </c:pt>
                <c:pt idx="7">
                  <c:v>19.961951820975727</c:v>
                </c:pt>
                <c:pt idx="8">
                  <c:v>3.2835532490476451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59-4355-9A08-D21FB6F83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932640"/>
        <c:axId val="708297456"/>
      </c:lineChart>
      <c:catAx>
        <c:axId val="60493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297456"/>
        <c:crosses val="autoZero"/>
        <c:auto val="1"/>
        <c:lblAlgn val="ctr"/>
        <c:lblOffset val="100"/>
        <c:noMultiLvlLbl val="0"/>
      </c:catAx>
      <c:valAx>
        <c:axId val="70829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3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Sheet1!$R$113</c:f>
              <c:strCache>
                <c:ptCount val="1"/>
                <c:pt idx="0">
                  <c:v>Percentage over total 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Sheet1!$Q$114:$Q$122</c:f>
              <c:strCache>
                <c:ptCount val="9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35-59</c:v>
                </c:pt>
                <c:pt idx="8">
                  <c:v>60+</c:v>
                </c:pt>
              </c:strCache>
            </c:strRef>
          </c:cat>
          <c:val>
            <c:numRef>
              <c:f>Sheet1!$R$114:$R$122</c:f>
              <c:numCache>
                <c:formatCode>General</c:formatCode>
                <c:ptCount val="9"/>
                <c:pt idx="0">
                  <c:v>0</c:v>
                </c:pt>
                <c:pt idx="1">
                  <c:v>9.7464043641280238</c:v>
                </c:pt>
                <c:pt idx="2">
                  <c:v>20.520371477534418</c:v>
                </c:pt>
                <c:pt idx="3">
                  <c:v>14.569928912348157</c:v>
                </c:pt>
                <c:pt idx="4">
                  <c:v>12.967356236227918</c:v>
                </c:pt>
                <c:pt idx="5">
                  <c:v>10.365081973306783</c:v>
                </c:pt>
                <c:pt idx="6">
                  <c:v>7.3067809275404807</c:v>
                </c:pt>
                <c:pt idx="7">
                  <c:v>20.078275275927989</c:v>
                </c:pt>
                <c:pt idx="8">
                  <c:v>4.4458008329862269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3B-495D-8672-D9B1DB116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157504"/>
        <c:axId val="903693840"/>
      </c:lineChart>
      <c:catAx>
        <c:axId val="64215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693840"/>
        <c:crosses val="autoZero"/>
        <c:auto val="1"/>
        <c:lblAlgn val="ctr"/>
        <c:lblOffset val="100"/>
        <c:noMultiLvlLbl val="0"/>
      </c:catAx>
      <c:valAx>
        <c:axId val="90369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15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75085495905843"/>
          <c:y val="0.14435210362492965"/>
          <c:w val="0.8667027251579581"/>
          <c:h val="0.603755631439898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Sheet1!$A$128</c:f>
              <c:strCache>
                <c:ptCount val="1"/>
                <c:pt idx="0">
                  <c:v>Madhyamik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6F-4F8A-818A-60F6E8A265B7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6F-4F8A-818A-60F6E8A265B7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C6F-4F8A-818A-60F6E8A265B7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6F-4F8A-818A-60F6E8A265B7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C6F-4F8A-818A-60F6E8A265B7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C6F-4F8A-818A-60F6E8A265B7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C6F-4F8A-818A-60F6E8A265B7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C6F-4F8A-818A-60F6E8A265B7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C6F-4F8A-818A-60F6E8A265B7}"/>
              </c:ext>
            </c:extLst>
          </c:dPt>
          <c:dLbls>
            <c:delete val="1"/>
          </c:dLbls>
          <c:cat>
            <c:multiLvlStrRef>
              <c:f>Sheet1!$B$126:$S$127</c:f>
              <c:multiLvlStrCache>
                <c:ptCount val="18"/>
                <c:lvl>
                  <c:pt idx="0">
                    <c:v>Appeared</c:v>
                  </c:pt>
                  <c:pt idx="1">
                    <c:v>Passed</c:v>
                  </c:pt>
                  <c:pt idx="2">
                    <c:v>Appeared</c:v>
                  </c:pt>
                  <c:pt idx="3">
                    <c:v>Passed</c:v>
                  </c:pt>
                  <c:pt idx="4">
                    <c:v>Appeared</c:v>
                  </c:pt>
                  <c:pt idx="5">
                    <c:v>Passed</c:v>
                  </c:pt>
                  <c:pt idx="6">
                    <c:v>Appeared</c:v>
                  </c:pt>
                  <c:pt idx="7">
                    <c:v>Passed</c:v>
                  </c:pt>
                  <c:pt idx="8">
                    <c:v>Appeared</c:v>
                  </c:pt>
                  <c:pt idx="9">
                    <c:v>Passed</c:v>
                  </c:pt>
                  <c:pt idx="10">
                    <c:v>Appeared</c:v>
                  </c:pt>
                  <c:pt idx="11">
                    <c:v>Passed</c:v>
                  </c:pt>
                  <c:pt idx="12">
                    <c:v>Appeared</c:v>
                  </c:pt>
                  <c:pt idx="13">
                    <c:v>Passed</c:v>
                  </c:pt>
                  <c:pt idx="14">
                    <c:v>Appeared</c:v>
                  </c:pt>
                  <c:pt idx="15">
                    <c:v>Passed</c:v>
                  </c:pt>
                  <c:pt idx="16">
                    <c:v>Appeared</c:v>
                  </c:pt>
                  <c:pt idx="17">
                    <c:v>Passed</c:v>
                  </c:pt>
                </c:lvl>
                <c:lvl>
                  <c:pt idx="0">
                    <c:v>1981</c:v>
                  </c:pt>
                  <c:pt idx="2">
                    <c:v>1985</c:v>
                  </c:pt>
                  <c:pt idx="4">
                    <c:v>1986</c:v>
                  </c:pt>
                  <c:pt idx="6">
                    <c:v>1987</c:v>
                  </c:pt>
                  <c:pt idx="8">
                    <c:v>1988</c:v>
                  </c:pt>
                  <c:pt idx="10">
                    <c:v>1989</c:v>
                  </c:pt>
                  <c:pt idx="12">
                    <c:v>1990</c:v>
                  </c:pt>
                  <c:pt idx="14">
                    <c:v>1991</c:v>
                  </c:pt>
                  <c:pt idx="16">
                    <c:v>1992</c:v>
                  </c:pt>
                </c:lvl>
              </c:multiLvlStrCache>
            </c:multiLvlStrRef>
          </c:cat>
          <c:val>
            <c:numRef>
              <c:f>Sheet1!$B$128:$S$128</c:f>
              <c:numCache>
                <c:formatCode>General</c:formatCode>
                <c:ptCount val="18"/>
                <c:pt idx="0">
                  <c:v>286083</c:v>
                </c:pt>
                <c:pt idx="1">
                  <c:v>145010</c:v>
                </c:pt>
                <c:pt idx="2">
                  <c:v>302293</c:v>
                </c:pt>
                <c:pt idx="3">
                  <c:v>186461</c:v>
                </c:pt>
                <c:pt idx="4">
                  <c:v>310985</c:v>
                </c:pt>
                <c:pt idx="5">
                  <c:v>145566</c:v>
                </c:pt>
                <c:pt idx="6">
                  <c:v>366784</c:v>
                </c:pt>
                <c:pt idx="7">
                  <c:v>182409</c:v>
                </c:pt>
                <c:pt idx="8">
                  <c:v>431273</c:v>
                </c:pt>
                <c:pt idx="9">
                  <c:v>188314</c:v>
                </c:pt>
                <c:pt idx="10">
                  <c:v>416232</c:v>
                </c:pt>
                <c:pt idx="11">
                  <c:v>222902</c:v>
                </c:pt>
                <c:pt idx="12">
                  <c:v>412392</c:v>
                </c:pt>
                <c:pt idx="13">
                  <c:v>195851</c:v>
                </c:pt>
                <c:pt idx="14">
                  <c:v>470170</c:v>
                </c:pt>
                <c:pt idx="15">
                  <c:v>237246</c:v>
                </c:pt>
                <c:pt idx="16">
                  <c:v>464736</c:v>
                </c:pt>
                <c:pt idx="17">
                  <c:v>285125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F-4F8A-818A-60F6E8A265B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40000416"/>
        <c:axId val="963329632"/>
      </c:barChart>
      <c:catAx>
        <c:axId val="84000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329632"/>
        <c:crosses val="autoZero"/>
        <c:auto val="1"/>
        <c:lblAlgn val="ctr"/>
        <c:lblOffset val="100"/>
        <c:noMultiLvlLbl val="0"/>
      </c:catAx>
      <c:valAx>
        <c:axId val="963329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00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Sheet1!$A$129</c:f>
              <c:strCache>
                <c:ptCount val="1"/>
                <c:pt idx="0">
                  <c:v>Higher Secendary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78D-48DA-904D-4835AE56D643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8D-48DA-904D-4835AE56D64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78D-48DA-904D-4835AE56D643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78D-48DA-904D-4835AE56D64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78D-48DA-904D-4835AE56D643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78D-48DA-904D-4835AE56D64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78D-48DA-904D-4835AE56D643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78D-48DA-904D-4835AE56D64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78D-48DA-904D-4835AE56D643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78D-48DA-904D-4835AE56D64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78D-48DA-904D-4835AE56D643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78D-48DA-904D-4835AE56D643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78D-48DA-904D-4835AE56D643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78D-48DA-904D-4835AE56D643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78D-48DA-904D-4835AE56D643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878D-48DA-904D-4835AE56D64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78D-48DA-904D-4835AE56D643}"/>
              </c:ext>
            </c:extLst>
          </c:dPt>
          <c:dPt>
            <c:idx val="17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878D-48DA-904D-4835AE56D643}"/>
              </c:ext>
            </c:extLst>
          </c:dPt>
          <c:cat>
            <c:multiLvlStrRef>
              <c:f>Sheet1!$B$126:$S$127</c:f>
              <c:multiLvlStrCache>
                <c:ptCount val="18"/>
                <c:lvl>
                  <c:pt idx="0">
                    <c:v>Appeared</c:v>
                  </c:pt>
                  <c:pt idx="1">
                    <c:v>Passed</c:v>
                  </c:pt>
                  <c:pt idx="2">
                    <c:v>Appeared</c:v>
                  </c:pt>
                  <c:pt idx="3">
                    <c:v>Passed</c:v>
                  </c:pt>
                  <c:pt idx="4">
                    <c:v>Appeared</c:v>
                  </c:pt>
                  <c:pt idx="5">
                    <c:v>Passed</c:v>
                  </c:pt>
                  <c:pt idx="6">
                    <c:v>Appeared</c:v>
                  </c:pt>
                  <c:pt idx="7">
                    <c:v>Passed</c:v>
                  </c:pt>
                  <c:pt idx="8">
                    <c:v>Appeared</c:v>
                  </c:pt>
                  <c:pt idx="9">
                    <c:v>Passed</c:v>
                  </c:pt>
                  <c:pt idx="10">
                    <c:v>Appeared</c:v>
                  </c:pt>
                  <c:pt idx="11">
                    <c:v>Passed</c:v>
                  </c:pt>
                  <c:pt idx="12">
                    <c:v>Appeared</c:v>
                  </c:pt>
                  <c:pt idx="13">
                    <c:v>Passed</c:v>
                  </c:pt>
                  <c:pt idx="14">
                    <c:v>Appeared</c:v>
                  </c:pt>
                  <c:pt idx="15">
                    <c:v>Passed</c:v>
                  </c:pt>
                  <c:pt idx="16">
                    <c:v>Appeared</c:v>
                  </c:pt>
                  <c:pt idx="17">
                    <c:v>Passed</c:v>
                  </c:pt>
                </c:lvl>
                <c:lvl>
                  <c:pt idx="0">
                    <c:v>1981</c:v>
                  </c:pt>
                  <c:pt idx="2">
                    <c:v>1985</c:v>
                  </c:pt>
                  <c:pt idx="4">
                    <c:v>1986</c:v>
                  </c:pt>
                  <c:pt idx="6">
                    <c:v>1987</c:v>
                  </c:pt>
                  <c:pt idx="8">
                    <c:v>1988</c:v>
                  </c:pt>
                  <c:pt idx="10">
                    <c:v>1989</c:v>
                  </c:pt>
                  <c:pt idx="12">
                    <c:v>1990</c:v>
                  </c:pt>
                  <c:pt idx="14">
                    <c:v>1991</c:v>
                  </c:pt>
                  <c:pt idx="16">
                    <c:v>1992</c:v>
                  </c:pt>
                </c:lvl>
              </c:multiLvlStrCache>
            </c:multiLvlStrRef>
          </c:cat>
          <c:val>
            <c:numRef>
              <c:f>Sheet1!$B$129:$S$129</c:f>
              <c:numCache>
                <c:formatCode>General</c:formatCode>
                <c:ptCount val="18"/>
                <c:pt idx="0">
                  <c:v>167001</c:v>
                </c:pt>
                <c:pt idx="1">
                  <c:v>78145</c:v>
                </c:pt>
                <c:pt idx="2">
                  <c:v>254650</c:v>
                </c:pt>
                <c:pt idx="3">
                  <c:v>129831</c:v>
                </c:pt>
                <c:pt idx="4">
                  <c:v>258883</c:v>
                </c:pt>
                <c:pt idx="5">
                  <c:v>112287</c:v>
                </c:pt>
                <c:pt idx="6">
                  <c:v>278024</c:v>
                </c:pt>
                <c:pt idx="7">
                  <c:v>98995</c:v>
                </c:pt>
                <c:pt idx="8">
                  <c:v>259293</c:v>
                </c:pt>
                <c:pt idx="9">
                  <c:v>123655</c:v>
                </c:pt>
                <c:pt idx="10">
                  <c:v>262874</c:v>
                </c:pt>
                <c:pt idx="11">
                  <c:v>121815</c:v>
                </c:pt>
                <c:pt idx="12">
                  <c:v>280804</c:v>
                </c:pt>
                <c:pt idx="13">
                  <c:v>131802</c:v>
                </c:pt>
                <c:pt idx="14">
                  <c:v>308300</c:v>
                </c:pt>
                <c:pt idx="15">
                  <c:v>120093</c:v>
                </c:pt>
                <c:pt idx="16">
                  <c:v>291492</c:v>
                </c:pt>
                <c:pt idx="17">
                  <c:v>114066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8D-48DA-904D-4835AE56D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839999936"/>
        <c:axId val="9390417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Sheet1!$A$128</c15:sqref>
                        </c15:formulaRef>
                      </c:ext>
                    </c:extLst>
                    <c:strCache>
                      <c:ptCount val="1"/>
                      <c:pt idx="0">
                        <c:v>Madhyamik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Sheet1!$B$126:$S$127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Appeared</c:v>
                        </c:pt>
                        <c:pt idx="1">
                          <c:v>Passed</c:v>
                        </c:pt>
                        <c:pt idx="2">
                          <c:v>Appeared</c:v>
                        </c:pt>
                        <c:pt idx="3">
                          <c:v>Passed</c:v>
                        </c:pt>
                        <c:pt idx="4">
                          <c:v>Appeared</c:v>
                        </c:pt>
                        <c:pt idx="5">
                          <c:v>Passed</c:v>
                        </c:pt>
                        <c:pt idx="6">
                          <c:v>Appeared</c:v>
                        </c:pt>
                        <c:pt idx="7">
                          <c:v>Passed</c:v>
                        </c:pt>
                        <c:pt idx="8">
                          <c:v>Appeared</c:v>
                        </c:pt>
                        <c:pt idx="9">
                          <c:v>Passed</c:v>
                        </c:pt>
                        <c:pt idx="10">
                          <c:v>Appeared</c:v>
                        </c:pt>
                        <c:pt idx="11">
                          <c:v>Passed</c:v>
                        </c:pt>
                        <c:pt idx="12">
                          <c:v>Appeared</c:v>
                        </c:pt>
                        <c:pt idx="13">
                          <c:v>Passed</c:v>
                        </c:pt>
                        <c:pt idx="14">
                          <c:v>Appeared</c:v>
                        </c:pt>
                        <c:pt idx="15">
                          <c:v>Passed</c:v>
                        </c:pt>
                        <c:pt idx="16">
                          <c:v>Appeared</c:v>
                        </c:pt>
                        <c:pt idx="17">
                          <c:v>Passed</c:v>
                        </c:pt>
                      </c:lvl>
                      <c:lvl>
                        <c:pt idx="0">
                          <c:v>1981</c:v>
                        </c:pt>
                        <c:pt idx="2">
                          <c:v>1985</c:v>
                        </c:pt>
                        <c:pt idx="4">
                          <c:v>1986</c:v>
                        </c:pt>
                        <c:pt idx="6">
                          <c:v>1987</c:v>
                        </c:pt>
                        <c:pt idx="8">
                          <c:v>1988</c:v>
                        </c:pt>
                        <c:pt idx="10">
                          <c:v>1989</c:v>
                        </c:pt>
                        <c:pt idx="12">
                          <c:v>1990</c:v>
                        </c:pt>
                        <c:pt idx="14">
                          <c:v>1991</c:v>
                        </c:pt>
                        <c:pt idx="16">
                          <c:v>1992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Sheet1!$B$128:$S$128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286083</c:v>
                      </c:pt>
                      <c:pt idx="1">
                        <c:v>145010</c:v>
                      </c:pt>
                      <c:pt idx="2">
                        <c:v>302293</c:v>
                      </c:pt>
                      <c:pt idx="3">
                        <c:v>186461</c:v>
                      </c:pt>
                      <c:pt idx="4">
                        <c:v>310985</c:v>
                      </c:pt>
                      <c:pt idx="5">
                        <c:v>145566</c:v>
                      </c:pt>
                      <c:pt idx="6">
                        <c:v>366784</c:v>
                      </c:pt>
                      <c:pt idx="7">
                        <c:v>182409</c:v>
                      </c:pt>
                      <c:pt idx="8">
                        <c:v>431273</c:v>
                      </c:pt>
                      <c:pt idx="9">
                        <c:v>188314</c:v>
                      </c:pt>
                      <c:pt idx="10">
                        <c:v>416232</c:v>
                      </c:pt>
                      <c:pt idx="11">
                        <c:v>222902</c:v>
                      </c:pt>
                      <c:pt idx="12">
                        <c:v>412392</c:v>
                      </c:pt>
                      <c:pt idx="13">
                        <c:v>195851</c:v>
                      </c:pt>
                      <c:pt idx="14">
                        <c:v>470170</c:v>
                      </c:pt>
                      <c:pt idx="15">
                        <c:v>237246</c:v>
                      </c:pt>
                      <c:pt idx="16">
                        <c:v>464736</c:v>
                      </c:pt>
                      <c:pt idx="17">
                        <c:v>285125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78D-48DA-904D-4835AE56D643}"/>
                  </c:ext>
                </c:extLst>
              </c15:ser>
            </c15:filteredBarSeries>
          </c:ext>
        </c:extLst>
      </c:barChart>
      <c:catAx>
        <c:axId val="83999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41760"/>
        <c:crosses val="autoZero"/>
        <c:auto val="1"/>
        <c:lblAlgn val="ctr"/>
        <c:lblOffset val="100"/>
        <c:noMultiLvlLbl val="0"/>
      </c:catAx>
      <c:valAx>
        <c:axId val="939041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99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Sheet1!$P$1:$P$3</c:f>
              <c:strCache>
                <c:ptCount val="3"/>
                <c:pt idx="0">
                  <c:v>1981</c:v>
                </c:pt>
                <c:pt idx="1">
                  <c:v>Male</c:v>
                </c:pt>
                <c:pt idx="2">
                  <c:v>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strRef>
              <c:f>Sheet1!$O$4:$O$20</c:f>
              <c:strCache>
                <c:ptCount val="17"/>
                <c:pt idx="0">
                  <c:v>Burdwan</c:v>
                </c:pt>
                <c:pt idx="1">
                  <c:v>Birbhum</c:v>
                </c:pt>
                <c:pt idx="2">
                  <c:v>Bankura</c:v>
                </c:pt>
                <c:pt idx="3">
                  <c:v>Midnapur</c:v>
                </c:pt>
                <c:pt idx="4">
                  <c:v>Howrah</c:v>
                </c:pt>
                <c:pt idx="5">
                  <c:v>Hooghly</c:v>
                </c:pt>
                <c:pt idx="6">
                  <c:v>N_24-Parganas</c:v>
                </c:pt>
                <c:pt idx="7">
                  <c:v>S_24-Parganas</c:v>
                </c:pt>
                <c:pt idx="8">
                  <c:v>Calcutta</c:v>
                </c:pt>
                <c:pt idx="9">
                  <c:v>Nadia</c:v>
                </c:pt>
                <c:pt idx="10">
                  <c:v>Murshidabad</c:v>
                </c:pt>
                <c:pt idx="11">
                  <c:v>West Dinajpur</c:v>
                </c:pt>
                <c:pt idx="12">
                  <c:v>Malda</c:v>
                </c:pt>
                <c:pt idx="13">
                  <c:v>Jalpaiguri</c:v>
                </c:pt>
                <c:pt idx="14">
                  <c:v>Darjeeling</c:v>
                </c:pt>
                <c:pt idx="15">
                  <c:v>Coachbehar</c:v>
                </c:pt>
                <c:pt idx="16">
                  <c:v>Purulia</c:v>
                </c:pt>
              </c:strCache>
            </c:strRef>
          </c:xVal>
          <c:yVal>
            <c:numRef>
              <c:f>Sheet1!$P$4:$P$20</c:f>
              <c:numCache>
                <c:formatCode>General</c:formatCode>
                <c:ptCount val="17"/>
                <c:pt idx="0">
                  <c:v>9.1581368937041816</c:v>
                </c:pt>
                <c:pt idx="1">
                  <c:v>1.7851201337906524</c:v>
                </c:pt>
                <c:pt idx="2">
                  <c:v>4.3976250337611908</c:v>
                </c:pt>
                <c:pt idx="3">
                  <c:v>13.453555285504951</c:v>
                </c:pt>
                <c:pt idx="4">
                  <c:v>6.7440689775727609</c:v>
                </c:pt>
                <c:pt idx="5">
                  <c:v>7.5729040299389512</c:v>
                </c:pt>
                <c:pt idx="6">
                  <c:v>22.050571549378599</c:v>
                </c:pt>
                <c:pt idx="8">
                  <c:v>9.9365272091554395</c:v>
                </c:pt>
                <c:pt idx="9">
                  <c:v>4.66780564343488</c:v>
                </c:pt>
                <c:pt idx="10">
                  <c:v>4.1983963478010473</c:v>
                </c:pt>
                <c:pt idx="11">
                  <c:v>3.150617124797126</c:v>
                </c:pt>
                <c:pt idx="12">
                  <c:v>2.2966928220292169</c:v>
                </c:pt>
                <c:pt idx="13">
                  <c:v>3.0306497317145711</c:v>
                </c:pt>
                <c:pt idx="14">
                  <c:v>1.9726974867661384</c:v>
                </c:pt>
                <c:pt idx="15">
                  <c:v>2.5710351224983876</c:v>
                </c:pt>
                <c:pt idx="16">
                  <c:v>3.0135966081519396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C1-4158-812E-AE5F512708E3}"/>
            </c:ext>
          </c:extLst>
        </c:ser>
        <c:ser>
          <c:idx val="2"/>
          <c:order val="1"/>
          <c:tx>
            <c:strRef>
              <c:f>Sheet1!$R$1:$R$3</c:f>
              <c:strCache>
                <c:ptCount val="3"/>
                <c:pt idx="0">
                  <c:v>1991</c:v>
                </c:pt>
                <c:pt idx="1">
                  <c:v>Male</c:v>
                </c:pt>
                <c:pt idx="2">
                  <c:v>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strRef>
              <c:f>Sheet1!$O$4:$O$20</c:f>
              <c:strCache>
                <c:ptCount val="17"/>
                <c:pt idx="0">
                  <c:v>Burdwan</c:v>
                </c:pt>
                <c:pt idx="1">
                  <c:v>Birbhum</c:v>
                </c:pt>
                <c:pt idx="2">
                  <c:v>Bankura</c:v>
                </c:pt>
                <c:pt idx="3">
                  <c:v>Midnapur</c:v>
                </c:pt>
                <c:pt idx="4">
                  <c:v>Howrah</c:v>
                </c:pt>
                <c:pt idx="5">
                  <c:v>Hooghly</c:v>
                </c:pt>
                <c:pt idx="6">
                  <c:v>N_24-Parganas</c:v>
                </c:pt>
                <c:pt idx="7">
                  <c:v>S_24-Parganas</c:v>
                </c:pt>
                <c:pt idx="8">
                  <c:v>Calcutta</c:v>
                </c:pt>
                <c:pt idx="9">
                  <c:v>Nadia</c:v>
                </c:pt>
                <c:pt idx="10">
                  <c:v>Murshidabad</c:v>
                </c:pt>
                <c:pt idx="11">
                  <c:v>West Dinajpur</c:v>
                </c:pt>
                <c:pt idx="12">
                  <c:v>Malda</c:v>
                </c:pt>
                <c:pt idx="13">
                  <c:v>Jalpaiguri</c:v>
                </c:pt>
                <c:pt idx="14">
                  <c:v>Darjeeling</c:v>
                </c:pt>
                <c:pt idx="15">
                  <c:v>Coachbehar</c:v>
                </c:pt>
                <c:pt idx="16">
                  <c:v>Purulia</c:v>
                </c:pt>
              </c:strCache>
            </c:strRef>
          </c:xVal>
          <c:yVal>
            <c:numRef>
              <c:f>Sheet1!$R$4:$R$20</c:f>
              <c:numCache>
                <c:formatCode>General</c:formatCode>
                <c:ptCount val="17"/>
                <c:pt idx="0">
                  <c:v>9.5077025315157861</c:v>
                </c:pt>
                <c:pt idx="1">
                  <c:v>3.1471041272684088</c:v>
                </c:pt>
                <c:pt idx="2">
                  <c:v>3.9844989775946802</c:v>
                </c:pt>
                <c:pt idx="3">
                  <c:v>14.281223478033567</c:v>
                </c:pt>
                <c:pt idx="4">
                  <c:v>6.4285812406591409</c:v>
                </c:pt>
                <c:pt idx="5">
                  <c:v>7.3249950875569558</c:v>
                </c:pt>
                <c:pt idx="6">
                  <c:v>12.117961743267266</c:v>
                </c:pt>
                <c:pt idx="7">
                  <c:v>8.2176910064366453</c:v>
                </c:pt>
                <c:pt idx="8">
                  <c:v>9.0942161781531574</c:v>
                </c:pt>
                <c:pt idx="9">
                  <c:v>4.9811624980414928</c:v>
                </c:pt>
                <c:pt idx="10">
                  <c:v>4.475778122019312</c:v>
                </c:pt>
                <c:pt idx="11">
                  <c:v>3.2385193667716576</c:v>
                </c:pt>
                <c:pt idx="12">
                  <c:v>2.4525882054780856</c:v>
                </c:pt>
                <c:pt idx="13">
                  <c:v>3.3267641643103198</c:v>
                </c:pt>
                <c:pt idx="14">
                  <c:v>1.9273898114637211</c:v>
                </c:pt>
                <c:pt idx="15">
                  <c:v>2.6079299074509668</c:v>
                </c:pt>
                <c:pt idx="16">
                  <c:v>2.88589355397884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C1-4158-812E-AE5F51270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255359"/>
        <c:axId val="2078927695"/>
      </c:scatterChart>
      <c:valAx>
        <c:axId val="186725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927695"/>
        <c:crosses val="autoZero"/>
        <c:crossBetween val="midCat"/>
      </c:valAx>
      <c:valAx>
        <c:axId val="207892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255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3 year trend of total number of Middle, High &amp; High Sec schools in WB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Middle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multiLvlStrRef>
              <c:f>Sheet1!$T$74:$V$75</c:f>
              <c:multiLvlStrCache>
                <c:ptCount val="3"/>
                <c:lvl>
                  <c:pt idx="0">
                    <c:v>Middle</c:v>
                  </c:pt>
                  <c:pt idx="1">
                    <c:v>Middle</c:v>
                  </c:pt>
                  <c:pt idx="2">
                    <c:v>Middle</c:v>
                  </c:pt>
                </c:lvl>
                <c:lvl>
                  <c:pt idx="0">
                    <c:v>1987-'88</c:v>
                  </c:pt>
                  <c:pt idx="1">
                    <c:v>1988-'89</c:v>
                  </c:pt>
                  <c:pt idx="2">
                    <c:v>1989-'90</c:v>
                  </c:pt>
                </c:lvl>
              </c:multiLvlStrCache>
            </c:multiLvlStrRef>
          </c:xVal>
          <c:yVal>
            <c:numRef>
              <c:f>Sheet1!$T$76:$V$76</c:f>
              <c:numCache>
                <c:formatCode>General</c:formatCode>
                <c:ptCount val="3"/>
                <c:pt idx="0">
                  <c:v>2291</c:v>
                </c:pt>
                <c:pt idx="1">
                  <c:v>3133</c:v>
                </c:pt>
                <c:pt idx="2">
                  <c:v>4214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AD-4C08-8761-A2976016B869}"/>
            </c:ext>
          </c:extLst>
        </c:ser>
        <c:ser>
          <c:idx val="2"/>
          <c:order val="1"/>
          <c:tx>
            <c:v>High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multiLvlStrRef>
              <c:f>Sheet1!$T$78:$V$79</c:f>
              <c:multiLvlStrCache>
                <c:ptCount val="3"/>
                <c:lvl>
                  <c:pt idx="0">
                    <c:v>High</c:v>
                  </c:pt>
                  <c:pt idx="1">
                    <c:v>High</c:v>
                  </c:pt>
                  <c:pt idx="2">
                    <c:v>High</c:v>
                  </c:pt>
                </c:lvl>
                <c:lvl>
                  <c:pt idx="0">
                    <c:v>1987-'88</c:v>
                  </c:pt>
                  <c:pt idx="1">
                    <c:v>1988-'89</c:v>
                  </c:pt>
                  <c:pt idx="2">
                    <c:v>1989-'90</c:v>
                  </c:pt>
                </c:lvl>
              </c:multiLvlStrCache>
            </c:multiLvlStrRef>
          </c:xVal>
          <c:yVal>
            <c:numRef>
              <c:f>Sheet1!$T$80:$V$80</c:f>
              <c:numCache>
                <c:formatCode>General</c:formatCode>
                <c:ptCount val="3"/>
                <c:pt idx="0">
                  <c:v>3031</c:v>
                </c:pt>
                <c:pt idx="1">
                  <c:v>3971</c:v>
                </c:pt>
                <c:pt idx="2">
                  <c:v>3793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AD-4C08-8761-A2976016B869}"/>
            </c:ext>
          </c:extLst>
        </c:ser>
        <c:ser>
          <c:idx val="3"/>
          <c:order val="2"/>
          <c:tx>
            <c:v>High Secendary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multiLvlStrRef>
              <c:f>Sheet1!$T$81:$V$82</c:f>
              <c:multiLvlStrCache>
                <c:ptCount val="3"/>
                <c:lvl>
                  <c:pt idx="0">
                    <c:v>High Secendary</c:v>
                  </c:pt>
                  <c:pt idx="1">
                    <c:v>High Secendary</c:v>
                  </c:pt>
                  <c:pt idx="2">
                    <c:v>High Secendary</c:v>
                  </c:pt>
                </c:lvl>
                <c:lvl>
                  <c:pt idx="0">
                    <c:v>1987-'88</c:v>
                  </c:pt>
                  <c:pt idx="1">
                    <c:v>1988-'89</c:v>
                  </c:pt>
                  <c:pt idx="2">
                    <c:v>1989-'90</c:v>
                  </c:pt>
                </c:lvl>
              </c:multiLvlStrCache>
            </c:multiLvlStrRef>
          </c:xVal>
          <c:yVal>
            <c:numRef>
              <c:f>Sheet1!$T$83:$V$83</c:f>
              <c:numCache>
                <c:formatCode>General</c:formatCode>
                <c:ptCount val="3"/>
                <c:pt idx="0">
                  <c:v>721</c:v>
                </c:pt>
                <c:pt idx="1">
                  <c:v>1041</c:v>
                </c:pt>
                <c:pt idx="2">
                  <c:v>1074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8AD-4C08-8761-A2976016B86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66360991"/>
        <c:axId val="128152767"/>
      </c:scatterChart>
      <c:valAx>
        <c:axId val="186636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52767"/>
        <c:crosses val="autoZero"/>
        <c:crossBetween val="midCat"/>
      </c:valAx>
      <c:valAx>
        <c:axId val="12815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360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</a:t>
            </a:r>
            <a:r>
              <a:rPr lang="en-US" baseline="0"/>
              <a:t> year trend of total number of Primary schools in WB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Primary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multiLvlStrRef>
              <c:f>Sheet1!$T$71:$V$72</c:f>
              <c:multiLvlStrCache>
                <c:ptCount val="3"/>
                <c:lvl>
                  <c:pt idx="0">
                    <c:v>Primary</c:v>
                  </c:pt>
                  <c:pt idx="1">
                    <c:v>Primary</c:v>
                  </c:pt>
                  <c:pt idx="2">
                    <c:v>Primary</c:v>
                  </c:pt>
                </c:lvl>
                <c:lvl>
                  <c:pt idx="0">
                    <c:v>1987-'88</c:v>
                  </c:pt>
                  <c:pt idx="1">
                    <c:v>1988-'89</c:v>
                  </c:pt>
                  <c:pt idx="2">
                    <c:v>1989-'90</c:v>
                  </c:pt>
                </c:lvl>
              </c:multiLvlStrCache>
            </c:multiLvlStrRef>
          </c:xVal>
          <c:yVal>
            <c:numRef>
              <c:f>Sheet1!$T$73:$V$73</c:f>
              <c:numCache>
                <c:formatCode>General</c:formatCode>
                <c:ptCount val="3"/>
                <c:pt idx="0">
                  <c:v>37287</c:v>
                </c:pt>
                <c:pt idx="1">
                  <c:v>47109</c:v>
                </c:pt>
                <c:pt idx="2">
                  <c:v>41780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87-4626-99AE-5651F8F2BF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91758607"/>
        <c:axId val="102565647"/>
      </c:scatterChart>
      <c:valAx>
        <c:axId val="209175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65647"/>
        <c:crosses val="autoZero"/>
        <c:crossBetween val="midCat"/>
      </c:valAx>
      <c:valAx>
        <c:axId val="1025656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758607"/>
        <c:crosses val="autoZero"/>
        <c:crossBetween val="midCat"/>
        <c:majorUnit val="4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887896</xdr:colOff>
      <xdr:row>23</xdr:row>
      <xdr:rowOff>136818</xdr:rowOff>
    </xdr:from>
    <xdr:to>
      <xdr:col>15</xdr:col>
      <xdr:colOff>424070</xdr:colOff>
      <xdr:row>67</xdr:row>
      <xdr:rowOff>130191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D1205-34E9-A2C3-CCED-55B18CFEA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66261</xdr:colOff>
      <xdr:row>136</xdr:row>
      <xdr:rowOff>23191</xdr:rowOff>
    </xdr:from>
    <xdr:to>
      <xdr:col>5</xdr:col>
      <xdr:colOff>394447</xdr:colOff>
      <xdr:row>152</xdr:row>
      <xdr:rowOff>138545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D324D6-192F-82A2-AB8E-3A0BDBFEA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464127</xdr:colOff>
      <xdr:row>95</xdr:row>
      <xdr:rowOff>41564</xdr:rowOff>
    </xdr:from>
    <xdr:to>
      <xdr:col>43</xdr:col>
      <xdr:colOff>332509</xdr:colOff>
      <xdr:row>118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A129A0-AF4D-0BE3-57E3-557A50B35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570482</xdr:colOff>
      <xdr:row>181</xdr:row>
      <xdr:rowOff>119188</xdr:rowOff>
    </xdr:from>
    <xdr:to>
      <xdr:col>13</xdr:col>
      <xdr:colOff>743663</xdr:colOff>
      <xdr:row>205</xdr:row>
      <xdr:rowOff>39526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36D336-C254-1451-EB48-C5659CE0A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647292</xdr:colOff>
      <xdr:row>264</xdr:row>
      <xdr:rowOff>45028</xdr:rowOff>
    </xdr:from>
    <xdr:to>
      <xdr:col>12</xdr:col>
      <xdr:colOff>16911</xdr:colOff>
      <xdr:row>279</xdr:row>
      <xdr:rowOff>86591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CAB22D-6B36-574A-C40A-8642D63DD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811306</xdr:colOff>
      <xdr:row>108</xdr:row>
      <xdr:rowOff>161364</xdr:rowOff>
    </xdr:from>
    <xdr:to>
      <xdr:col>9</xdr:col>
      <xdr:colOff>757518</xdr:colOff>
      <xdr:row>124</xdr:row>
      <xdr:rowOff>35858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127BB3-F047-A771-316B-FB363B9CF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587188</xdr:colOff>
      <xdr:row>119</xdr:row>
      <xdr:rowOff>152400</xdr:rowOff>
    </xdr:from>
    <xdr:to>
      <xdr:col>27</xdr:col>
      <xdr:colOff>282388</xdr:colOff>
      <xdr:row>135</xdr:row>
      <xdr:rowOff>26894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C413F8D-715A-4DEA-1949-ADA2F3470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575703</xdr:colOff>
      <xdr:row>133</xdr:row>
      <xdr:rowOff>25772</xdr:rowOff>
    </xdr:from>
    <xdr:to>
      <xdr:col>13</xdr:col>
      <xdr:colOff>88023</xdr:colOff>
      <xdr:row>150</xdr:row>
      <xdr:rowOff>144780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AC65772-94AF-9B41-0088-9247227B2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477980</xdr:colOff>
      <xdr:row>133</xdr:row>
      <xdr:rowOff>83127</xdr:rowOff>
    </xdr:from>
    <xdr:to>
      <xdr:col>21</xdr:col>
      <xdr:colOff>193962</xdr:colOff>
      <xdr:row>150</xdr:row>
      <xdr:rowOff>138545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958407B-2C32-48F8-EC65-8C64A9C1D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582639</xdr:colOff>
      <xdr:row>3</xdr:row>
      <xdr:rowOff>146784</xdr:rowOff>
    </xdr:from>
    <xdr:to>
      <xdr:col>27</xdr:col>
      <xdr:colOff>138545</xdr:colOff>
      <xdr:row>19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3D901E5-0664-12F2-8320-F846EA3AB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586153</xdr:colOff>
      <xdr:row>69</xdr:row>
      <xdr:rowOff>77037</xdr:rowOff>
    </xdr:from>
    <xdr:to>
      <xdr:col>36</xdr:col>
      <xdr:colOff>552659</xdr:colOff>
      <xdr:row>87</xdr:row>
      <xdr:rowOff>184219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DBBCFFA-8B97-B2C8-295C-E8825CB9C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427055</xdr:colOff>
      <xdr:row>69</xdr:row>
      <xdr:rowOff>135652</xdr:rowOff>
    </xdr:from>
    <xdr:to>
      <xdr:col>30</xdr:col>
      <xdr:colOff>108857</xdr:colOff>
      <xdr:row>85</xdr:row>
      <xdr:rowOff>125604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8CE7672-FC2F-304A-CC64-3D85683B1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0AC9-EEDB-4B72-8E0A-BE9085D23C8A}">
  <dimension ref="A1:AE253"/>
  <sheetViews>
    <sheetView tabSelected="1" topLeftCell="R67" zoomScale="91" zoomScaleNormal="70" workbookViewId="0">
      <selection activeCell="AG74" sqref="AG74"/>
    </sheetView>
  </sheetViews>
  <sheetFormatPr defaultRowHeight="14.4" x14ac:dyDescent="0.3"/>
  <cols>
    <col min="1" max="1" width="16.5546875" bestFit="1" customWidth="1"/>
    <col min="2" max="2" width="16.21875" bestFit="1" customWidth="1"/>
    <col min="3" max="3" width="21.6640625" bestFit="1" customWidth="1"/>
    <col min="4" max="4" width="16.5546875" bestFit="1" customWidth="1"/>
    <col min="5" max="5" width="15.33203125" bestFit="1" customWidth="1"/>
    <col min="6" max="6" width="13.77734375" bestFit="1" customWidth="1"/>
    <col min="7" max="7" width="13.44140625" bestFit="1" customWidth="1"/>
    <col min="8" max="8" width="12" bestFit="1" customWidth="1"/>
    <col min="9" max="9" width="12.88671875" bestFit="1" customWidth="1"/>
    <col min="10" max="10" width="13.77734375" bestFit="1" customWidth="1"/>
    <col min="11" max="11" width="14.88671875" bestFit="1" customWidth="1"/>
    <col min="13" max="13" width="12.5546875" bestFit="1" customWidth="1"/>
    <col min="14" max="14" width="13.77734375" bestFit="1" customWidth="1"/>
    <col min="15" max="15" width="12.5546875" bestFit="1" customWidth="1"/>
  </cols>
  <sheetData>
    <row r="1" spans="2:19" x14ac:dyDescent="0.3">
      <c r="B1" s="1" t="s">
        <v>20</v>
      </c>
      <c r="C1" s="16">
        <v>1981</v>
      </c>
      <c r="D1" s="16"/>
      <c r="E1" s="16">
        <v>1991</v>
      </c>
      <c r="F1" s="16"/>
      <c r="G1" s="17">
        <v>1981</v>
      </c>
      <c r="H1" s="17"/>
      <c r="I1" s="15">
        <v>1991</v>
      </c>
      <c r="J1" s="15"/>
      <c r="O1" s="1" t="s">
        <v>20</v>
      </c>
      <c r="P1">
        <v>1981</v>
      </c>
      <c r="R1">
        <v>1991</v>
      </c>
    </row>
    <row r="2" spans="2:19" x14ac:dyDescent="0.3">
      <c r="B2" s="1" t="s">
        <v>21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O2" s="1" t="s">
        <v>21</v>
      </c>
      <c r="P2" t="s">
        <v>18</v>
      </c>
      <c r="Q2" t="s">
        <v>19</v>
      </c>
      <c r="R2" t="s">
        <v>18</v>
      </c>
      <c r="S2" t="s">
        <v>19</v>
      </c>
    </row>
    <row r="3" spans="2:19" x14ac:dyDescent="0.3">
      <c r="B3" s="1" t="s">
        <v>0</v>
      </c>
      <c r="C3" s="1"/>
      <c r="D3" s="1"/>
      <c r="E3" s="1"/>
      <c r="F3" s="1"/>
      <c r="G3" s="1" t="s">
        <v>70</v>
      </c>
      <c r="H3" s="1" t="s">
        <v>70</v>
      </c>
      <c r="I3" s="1" t="s">
        <v>70</v>
      </c>
      <c r="J3" s="1" t="s">
        <v>70</v>
      </c>
      <c r="O3" s="1" t="s">
        <v>0</v>
      </c>
      <c r="P3" t="s">
        <v>70</v>
      </c>
      <c r="Q3" t="s">
        <v>70</v>
      </c>
      <c r="R3" t="s">
        <v>70</v>
      </c>
      <c r="S3" t="s">
        <v>70</v>
      </c>
    </row>
    <row r="4" spans="2:19" x14ac:dyDescent="0.3">
      <c r="B4" s="1" t="s">
        <v>1</v>
      </c>
      <c r="C4" s="1">
        <v>1307145</v>
      </c>
      <c r="D4" s="1">
        <v>744668</v>
      </c>
      <c r="E4" s="1">
        <v>1910272</v>
      </c>
      <c r="F4" s="1">
        <v>1226489</v>
      </c>
      <c r="G4" s="13">
        <f>(C4/$C$21)*100</f>
        <v>9.1581368937041816</v>
      </c>
      <c r="H4" s="13">
        <f>(D4/$D$21)*100</f>
        <v>9.4595767054487432</v>
      </c>
      <c r="I4" s="13">
        <f>(E4/$E$21)*100</f>
        <v>9.5077025315157861</v>
      </c>
      <c r="J4" s="13">
        <f>(F4/$F$21)*100</f>
        <v>9.7981467795523436</v>
      </c>
      <c r="O4" s="1" t="s">
        <v>1</v>
      </c>
      <c r="P4">
        <v>9.1581368937041816</v>
      </c>
      <c r="Q4">
        <v>9.4595767054487432</v>
      </c>
      <c r="R4">
        <v>9.5077025315157861</v>
      </c>
      <c r="S4">
        <v>9.7981467795523436</v>
      </c>
    </row>
    <row r="5" spans="2:19" x14ac:dyDescent="0.3">
      <c r="B5" s="1" t="s">
        <v>2</v>
      </c>
      <c r="C5" s="1">
        <v>254791</v>
      </c>
      <c r="D5" s="1">
        <v>251316</v>
      </c>
      <c r="E5" s="1">
        <v>632311</v>
      </c>
      <c r="F5" s="1">
        <v>372463</v>
      </c>
      <c r="G5" s="13">
        <f t="shared" ref="G5:G9" si="0">(C5/$C$21)*100</f>
        <v>1.7851201337906524</v>
      </c>
      <c r="H5" s="13">
        <f t="shared" ref="H5:H9" si="1">(D5/$D$21)*100</f>
        <v>3.1924870939889409</v>
      </c>
      <c r="I5" s="13">
        <f t="shared" ref="I5:I20" si="2">(E5/$E$21)*100</f>
        <v>3.1471041272684088</v>
      </c>
      <c r="J5" s="13">
        <f t="shared" ref="J5:J20" si="3">(F5/$F$21)*100</f>
        <v>2.9755237461994395</v>
      </c>
      <c r="O5" s="1" t="s">
        <v>2</v>
      </c>
      <c r="P5">
        <v>1.7851201337906524</v>
      </c>
      <c r="Q5">
        <v>3.1924870939889409</v>
      </c>
      <c r="R5">
        <v>3.1471041272684088</v>
      </c>
      <c r="S5">
        <v>2.9755237461994395</v>
      </c>
    </row>
    <row r="6" spans="2:19" x14ac:dyDescent="0.3">
      <c r="B6" s="1" t="s">
        <v>3</v>
      </c>
      <c r="C6" s="1">
        <v>627675</v>
      </c>
      <c r="D6" s="1">
        <v>282676</v>
      </c>
      <c r="E6" s="1">
        <v>800559</v>
      </c>
      <c r="F6" s="1">
        <v>416115</v>
      </c>
      <c r="G6" s="13">
        <f t="shared" si="0"/>
        <v>4.3976250337611908</v>
      </c>
      <c r="H6" s="13">
        <f t="shared" si="1"/>
        <v>3.590855662912102</v>
      </c>
      <c r="I6" s="13">
        <f t="shared" si="2"/>
        <v>3.9844989775946802</v>
      </c>
      <c r="J6" s="13">
        <f t="shared" si="3"/>
        <v>3.3242498279017778</v>
      </c>
      <c r="O6" s="1" t="s">
        <v>3</v>
      </c>
      <c r="P6">
        <v>4.3976250337611908</v>
      </c>
      <c r="Q6">
        <v>3.590855662912102</v>
      </c>
      <c r="R6">
        <v>3.9844989775946802</v>
      </c>
      <c r="S6">
        <v>3.3242498279017778</v>
      </c>
    </row>
    <row r="7" spans="2:19" x14ac:dyDescent="0.3">
      <c r="B7" s="1" t="s">
        <v>4</v>
      </c>
      <c r="C7" s="1">
        <v>1920232</v>
      </c>
      <c r="D7" s="1">
        <v>961208</v>
      </c>
      <c r="E7" s="1">
        <v>2869360</v>
      </c>
      <c r="F7" s="1">
        <v>1884920</v>
      </c>
      <c r="G7" s="13">
        <f t="shared" si="0"/>
        <v>13.453555285504951</v>
      </c>
      <c r="H7" s="13">
        <f t="shared" si="1"/>
        <v>12.210301511399679</v>
      </c>
      <c r="I7" s="13">
        <f t="shared" si="2"/>
        <v>14.281223478033567</v>
      </c>
      <c r="J7" s="13">
        <f t="shared" si="3"/>
        <v>15.058205028918973</v>
      </c>
      <c r="O7" s="1" t="s">
        <v>4</v>
      </c>
      <c r="P7">
        <v>13.453555285504951</v>
      </c>
      <c r="Q7">
        <v>12.210301511399679</v>
      </c>
      <c r="R7">
        <v>14.281223478033567</v>
      </c>
      <c r="S7">
        <v>15.058205028918973</v>
      </c>
    </row>
    <row r="8" spans="2:19" x14ac:dyDescent="0.3">
      <c r="B8" s="1" t="s">
        <v>5</v>
      </c>
      <c r="C8" s="1">
        <v>962584</v>
      </c>
      <c r="D8" s="1">
        <v>562010</v>
      </c>
      <c r="E8" s="1">
        <v>1291620</v>
      </c>
      <c r="F8" s="1">
        <v>851686</v>
      </c>
      <c r="G8" s="13">
        <f t="shared" si="0"/>
        <v>6.7440689775727609</v>
      </c>
      <c r="H8" s="13">
        <f t="shared" si="1"/>
        <v>7.1392576345824565</v>
      </c>
      <c r="I8" s="13">
        <f t="shared" si="2"/>
        <v>6.4285812406591409</v>
      </c>
      <c r="J8" s="13">
        <f t="shared" si="3"/>
        <v>6.8039292958109012</v>
      </c>
      <c r="O8" s="1" t="s">
        <v>5</v>
      </c>
      <c r="P8">
        <v>6.7440689775727609</v>
      </c>
      <c r="Q8">
        <v>7.1392576345824565</v>
      </c>
      <c r="R8">
        <v>6.4285812406591409</v>
      </c>
      <c r="S8">
        <v>6.8039292958109012</v>
      </c>
    </row>
    <row r="9" spans="2:19" x14ac:dyDescent="0.3">
      <c r="B9" s="1" t="s">
        <v>6</v>
      </c>
      <c r="C9" s="1">
        <v>1080884</v>
      </c>
      <c r="D9" s="1">
        <v>654598</v>
      </c>
      <c r="E9" s="1">
        <v>1471726</v>
      </c>
      <c r="F9" s="1">
        <v>1005512</v>
      </c>
      <c r="G9" s="13">
        <f t="shared" si="0"/>
        <v>7.5729040299389512</v>
      </c>
      <c r="H9" s="13">
        <f t="shared" si="1"/>
        <v>8.3154103469376111</v>
      </c>
      <c r="I9" s="13">
        <f t="shared" si="2"/>
        <v>7.3249950875569558</v>
      </c>
      <c r="J9" s="13">
        <f t="shared" si="3"/>
        <v>8.0328108646724399</v>
      </c>
      <c r="O9" s="1" t="s">
        <v>6</v>
      </c>
      <c r="P9">
        <v>7.5729040299389512</v>
      </c>
      <c r="Q9">
        <v>8.3154103469376111</v>
      </c>
      <c r="R9">
        <v>7.3249950875569558</v>
      </c>
      <c r="S9">
        <v>8.0328108646724399</v>
      </c>
    </row>
    <row r="10" spans="2:19" x14ac:dyDescent="0.3">
      <c r="B10" s="1" t="s">
        <v>7</v>
      </c>
      <c r="C10" s="14">
        <v>3147288</v>
      </c>
      <c r="D10" s="14">
        <v>1810795</v>
      </c>
      <c r="E10" s="1">
        <v>2434721</v>
      </c>
      <c r="F10" s="1">
        <v>1693972</v>
      </c>
      <c r="G10" s="18">
        <f t="shared" ref="G10:G20" si="4">(C10/$C$21)*100</f>
        <v>22.050571549378567</v>
      </c>
      <c r="H10" s="18">
        <f t="shared" ref="H10:H20" si="5">(D10/$D$21)*100</f>
        <v>23.00267260086785</v>
      </c>
      <c r="I10" s="13">
        <f t="shared" si="2"/>
        <v>12.117961743267266</v>
      </c>
      <c r="J10" s="13">
        <f t="shared" si="3"/>
        <v>13.532764090384699</v>
      </c>
      <c r="O10" s="1" t="s">
        <v>7</v>
      </c>
      <c r="P10" s="19">
        <v>22.050571549378599</v>
      </c>
      <c r="Q10" s="17">
        <v>23.00267260086785</v>
      </c>
      <c r="R10">
        <v>12.117961743267266</v>
      </c>
      <c r="S10">
        <v>13.532764090384699</v>
      </c>
    </row>
    <row r="11" spans="2:19" x14ac:dyDescent="0.3">
      <c r="B11" s="1" t="s">
        <v>8</v>
      </c>
      <c r="C11" s="14"/>
      <c r="D11" s="14"/>
      <c r="E11" s="1">
        <v>1651085</v>
      </c>
      <c r="F11" s="1">
        <v>899652</v>
      </c>
      <c r="G11" s="18"/>
      <c r="H11" s="18"/>
      <c r="I11" s="13">
        <f t="shared" si="2"/>
        <v>8.2176910064366453</v>
      </c>
      <c r="J11" s="13">
        <f t="shared" si="3"/>
        <v>7.1871189603150327</v>
      </c>
      <c r="O11" s="1" t="s">
        <v>8</v>
      </c>
      <c r="P11" s="19"/>
      <c r="Q11" s="17"/>
      <c r="R11">
        <v>8.2176910064366453</v>
      </c>
      <c r="S11">
        <v>7.1871189603150327</v>
      </c>
    </row>
    <row r="12" spans="2:19" x14ac:dyDescent="0.3">
      <c r="B12" s="1" t="s">
        <v>9</v>
      </c>
      <c r="C12" s="1">
        <v>1418245</v>
      </c>
      <c r="D12" s="1">
        <v>866247</v>
      </c>
      <c r="E12" s="1">
        <v>1827195</v>
      </c>
      <c r="F12" s="1">
        <v>1260703</v>
      </c>
      <c r="G12" s="13">
        <f t="shared" si="4"/>
        <v>9.9365272091554395</v>
      </c>
      <c r="H12" s="13">
        <f t="shared" si="5"/>
        <v>11.004004391708598</v>
      </c>
      <c r="I12" s="13">
        <f t="shared" si="2"/>
        <v>9.0942161781531574</v>
      </c>
      <c r="J12" s="13">
        <f t="shared" si="3"/>
        <v>10.071474786501939</v>
      </c>
      <c r="O12" s="1" t="s">
        <v>9</v>
      </c>
      <c r="P12">
        <v>9.9365272091554395</v>
      </c>
      <c r="Q12">
        <v>11.004004391708598</v>
      </c>
      <c r="R12">
        <v>9.0942161781531574</v>
      </c>
      <c r="S12">
        <v>10.071474786501939</v>
      </c>
    </row>
    <row r="13" spans="2:19" x14ac:dyDescent="0.3">
      <c r="B13" s="1" t="s">
        <v>10</v>
      </c>
      <c r="C13" s="1">
        <v>666238</v>
      </c>
      <c r="D13" s="1">
        <v>422046</v>
      </c>
      <c r="E13" s="1">
        <v>1000807</v>
      </c>
      <c r="F13" s="1">
        <v>686090</v>
      </c>
      <c r="G13" s="13">
        <f t="shared" si="4"/>
        <v>4.66780564343488</v>
      </c>
      <c r="H13" s="13">
        <f t="shared" si="5"/>
        <v>5.3612838341755262</v>
      </c>
      <c r="I13" s="13">
        <f t="shared" si="2"/>
        <v>4.9811624980414928</v>
      </c>
      <c r="J13" s="13">
        <f t="shared" si="3"/>
        <v>5.4810198248684392</v>
      </c>
      <c r="O13" s="1" t="s">
        <v>10</v>
      </c>
      <c r="P13">
        <v>4.66780564343488</v>
      </c>
      <c r="Q13">
        <v>5.3612838341755262</v>
      </c>
      <c r="R13">
        <v>4.9811624980414928</v>
      </c>
      <c r="S13">
        <v>5.4810198248684392</v>
      </c>
    </row>
    <row r="14" spans="2:19" x14ac:dyDescent="0.3">
      <c r="B14" s="1" t="s">
        <v>11</v>
      </c>
      <c r="C14" s="1">
        <v>599239</v>
      </c>
      <c r="D14" s="1">
        <v>321264</v>
      </c>
      <c r="E14" s="1">
        <v>899266</v>
      </c>
      <c r="F14" s="1">
        <v>535186</v>
      </c>
      <c r="G14" s="13">
        <f t="shared" si="4"/>
        <v>4.1983963478010473</v>
      </c>
      <c r="H14" s="13">
        <f t="shared" si="5"/>
        <v>4.0810420894939563</v>
      </c>
      <c r="I14" s="13">
        <f t="shared" si="2"/>
        <v>4.475778122019312</v>
      </c>
      <c r="J14" s="13">
        <f t="shared" si="3"/>
        <v>4.2754814616042216</v>
      </c>
      <c r="O14" s="1" t="s">
        <v>11</v>
      </c>
      <c r="P14">
        <v>4.1983963478010473</v>
      </c>
      <c r="Q14">
        <v>4.0810420894939563</v>
      </c>
      <c r="R14">
        <v>4.475778122019312</v>
      </c>
      <c r="S14">
        <v>4.2754814616042216</v>
      </c>
    </row>
    <row r="15" spans="2:19" x14ac:dyDescent="0.3">
      <c r="B15" s="1" t="s">
        <v>12</v>
      </c>
      <c r="C15" s="1">
        <v>449689</v>
      </c>
      <c r="D15" s="1">
        <v>199692</v>
      </c>
      <c r="E15" s="1">
        <v>650678</v>
      </c>
      <c r="F15" s="1">
        <v>334704</v>
      </c>
      <c r="G15" s="13">
        <f t="shared" si="4"/>
        <v>3.150617124797126</v>
      </c>
      <c r="H15" s="13">
        <f t="shared" si="5"/>
        <v>2.5367033247896655</v>
      </c>
      <c r="I15" s="13">
        <f t="shared" si="2"/>
        <v>3.2385193667716576</v>
      </c>
      <c r="J15" s="13">
        <f t="shared" si="3"/>
        <v>2.6738755257513827</v>
      </c>
      <c r="O15" s="1" t="s">
        <v>12</v>
      </c>
      <c r="P15">
        <v>3.150617124797126</v>
      </c>
      <c r="Q15">
        <v>2.5367033247896655</v>
      </c>
      <c r="R15">
        <v>3.2385193667716576</v>
      </c>
      <c r="S15">
        <v>2.6738755257513827</v>
      </c>
    </row>
    <row r="16" spans="2:19" x14ac:dyDescent="0.3">
      <c r="B16" s="1" t="s">
        <v>13</v>
      </c>
      <c r="C16" s="1">
        <v>327808</v>
      </c>
      <c r="D16" s="1">
        <v>140728</v>
      </c>
      <c r="E16" s="1">
        <v>492770</v>
      </c>
      <c r="F16" s="1">
        <v>251048</v>
      </c>
      <c r="G16" s="13">
        <f t="shared" si="4"/>
        <v>2.2966928220292169</v>
      </c>
      <c r="H16" s="13">
        <f t="shared" si="5"/>
        <v>1.787678953042686</v>
      </c>
      <c r="I16" s="13">
        <f t="shared" si="2"/>
        <v>2.4525882054780856</v>
      </c>
      <c r="J16" s="13">
        <f t="shared" si="3"/>
        <v>2.0055664198480838</v>
      </c>
      <c r="O16" s="1" t="s">
        <v>13</v>
      </c>
      <c r="P16">
        <v>2.2966928220292169</v>
      </c>
      <c r="Q16">
        <v>1.787678953042686</v>
      </c>
      <c r="R16">
        <v>2.4525882054780856</v>
      </c>
      <c r="S16">
        <v>2.0055664198480838</v>
      </c>
    </row>
    <row r="17" spans="2:23" x14ac:dyDescent="0.3">
      <c r="B17" s="1" t="s">
        <v>14</v>
      </c>
      <c r="C17" s="1">
        <v>432566</v>
      </c>
      <c r="D17" s="1">
        <v>213865</v>
      </c>
      <c r="E17" s="1">
        <v>668408</v>
      </c>
      <c r="F17" s="1">
        <v>363510</v>
      </c>
      <c r="G17" s="13">
        <f t="shared" si="4"/>
        <v>3.0306497317145711</v>
      </c>
      <c r="H17" s="13">
        <f t="shared" si="5"/>
        <v>2.7167440686464248</v>
      </c>
      <c r="I17" s="13">
        <f t="shared" si="2"/>
        <v>3.3267641643103198</v>
      </c>
      <c r="J17" s="13">
        <f t="shared" si="3"/>
        <v>2.9040002281594632</v>
      </c>
      <c r="O17" s="1" t="s">
        <v>14</v>
      </c>
      <c r="P17">
        <v>3.0306497317145711</v>
      </c>
      <c r="Q17">
        <v>2.7167440686464248</v>
      </c>
      <c r="R17">
        <v>3.3267641643103198</v>
      </c>
      <c r="S17">
        <v>2.9040002281594632</v>
      </c>
    </row>
    <row r="18" spans="2:23" x14ac:dyDescent="0.3">
      <c r="B18" s="1" t="s">
        <v>15</v>
      </c>
      <c r="C18" s="1">
        <v>281564</v>
      </c>
      <c r="D18" s="1">
        <v>153443</v>
      </c>
      <c r="E18" s="1">
        <v>387248</v>
      </c>
      <c r="F18" s="1">
        <v>249289</v>
      </c>
      <c r="G18" s="13">
        <f t="shared" si="4"/>
        <v>1.9726974867661384</v>
      </c>
      <c r="H18" s="13">
        <f t="shared" si="5"/>
        <v>1.9491986071835659</v>
      </c>
      <c r="I18" s="13">
        <f t="shared" si="2"/>
        <v>1.9273898114637211</v>
      </c>
      <c r="J18" s="13">
        <f t="shared" si="3"/>
        <v>1.9915141615846728</v>
      </c>
      <c r="O18" s="1" t="s">
        <v>15</v>
      </c>
      <c r="P18">
        <v>1.9726974867661384</v>
      </c>
      <c r="Q18">
        <v>1.9491986071835659</v>
      </c>
      <c r="R18">
        <v>1.9273898114637211</v>
      </c>
      <c r="S18">
        <v>1.9915141615846728</v>
      </c>
    </row>
    <row r="19" spans="2:23" x14ac:dyDescent="0.3">
      <c r="B19" s="1" t="s">
        <v>16</v>
      </c>
      <c r="C19" s="1">
        <v>366965</v>
      </c>
      <c r="D19" s="1">
        <v>167381</v>
      </c>
      <c r="E19" s="1">
        <v>523981</v>
      </c>
      <c r="F19" s="1">
        <v>282126</v>
      </c>
      <c r="G19" s="13">
        <f t="shared" si="4"/>
        <v>2.5710351224983876</v>
      </c>
      <c r="H19" s="13">
        <f t="shared" si="5"/>
        <v>2.1262541273892746</v>
      </c>
      <c r="I19" s="13">
        <f t="shared" si="2"/>
        <v>2.6079299074509668</v>
      </c>
      <c r="J19" s="13">
        <f t="shared" si="3"/>
        <v>2.2538416229807066</v>
      </c>
      <c r="O19" s="1" t="s">
        <v>16</v>
      </c>
      <c r="P19">
        <v>2.5710351224983876</v>
      </c>
      <c r="Q19">
        <v>2.1262541273892746</v>
      </c>
      <c r="R19">
        <v>2.6079299074509668</v>
      </c>
      <c r="S19">
        <v>2.2538416229807066</v>
      </c>
    </row>
    <row r="20" spans="2:23" x14ac:dyDescent="0.3">
      <c r="B20" s="1" t="s">
        <v>17</v>
      </c>
      <c r="C20" s="1">
        <v>430132</v>
      </c>
      <c r="D20" s="1">
        <v>120170</v>
      </c>
      <c r="E20" s="1">
        <v>579829</v>
      </c>
      <c r="F20" s="1">
        <v>204096</v>
      </c>
      <c r="G20" s="13">
        <f t="shared" si="4"/>
        <v>3.0135966081519396</v>
      </c>
      <c r="H20" s="13">
        <f t="shared" si="5"/>
        <v>1.5265290474329172</v>
      </c>
      <c r="I20" s="13">
        <f t="shared" si="2"/>
        <v>2.88589355397884</v>
      </c>
      <c r="J20" s="13">
        <f t="shared" si="3"/>
        <v>1.6304773749454864</v>
      </c>
      <c r="O20" s="1" t="s">
        <v>17</v>
      </c>
      <c r="P20">
        <v>3.0135966081519396</v>
      </c>
      <c r="Q20">
        <v>1.5265290474329172</v>
      </c>
      <c r="R20">
        <v>2.88589355397884</v>
      </c>
      <c r="S20">
        <v>1.6304773749454864</v>
      </c>
    </row>
    <row r="21" spans="2:23" x14ac:dyDescent="0.3">
      <c r="B21" s="1" t="s">
        <v>29</v>
      </c>
      <c r="C21" s="1">
        <f>SUM(C4:C20)</f>
        <v>14273045</v>
      </c>
      <c r="D21" s="1">
        <f>SUM(D4:D20)</f>
        <v>7872107</v>
      </c>
      <c r="E21" s="1">
        <f>SUM(E4:E20)</f>
        <v>20091836</v>
      </c>
      <c r="F21" s="1">
        <f>SUM(F4:F20)</f>
        <v>12517561</v>
      </c>
      <c r="G21" s="13">
        <f>(C21/C22)*100</f>
        <v>64.452233156945596</v>
      </c>
      <c r="H21" s="13">
        <f>(D21/C22)*100</f>
        <v>35.547766843054404</v>
      </c>
      <c r="I21" s="13">
        <f>(E21/E22)*100</f>
        <v>61.613638547195457</v>
      </c>
      <c r="J21" s="13">
        <f>(F21/E22)*100</f>
        <v>38.386361452804543</v>
      </c>
      <c r="O21" t="str">
        <f t="shared" ref="O21:W21" si="6">B21</f>
        <v>Total</v>
      </c>
      <c r="P21">
        <f t="shared" si="6"/>
        <v>14273045</v>
      </c>
      <c r="Q21">
        <f t="shared" si="6"/>
        <v>7872107</v>
      </c>
      <c r="R21">
        <f t="shared" si="6"/>
        <v>20091836</v>
      </c>
      <c r="S21">
        <f t="shared" si="6"/>
        <v>12517561</v>
      </c>
      <c r="T21">
        <f t="shared" si="6"/>
        <v>64.452233156945596</v>
      </c>
      <c r="U21">
        <f t="shared" si="6"/>
        <v>35.547766843054404</v>
      </c>
      <c r="V21">
        <f t="shared" si="6"/>
        <v>61.613638547195457</v>
      </c>
      <c r="W21">
        <f t="shared" si="6"/>
        <v>38.386361452804543</v>
      </c>
    </row>
    <row r="22" spans="2:23" x14ac:dyDescent="0.3">
      <c r="C22">
        <f>SUM(C21:D21)</f>
        <v>22145152</v>
      </c>
      <c r="E22">
        <f>SUM(E21:F21)</f>
        <v>32609397</v>
      </c>
    </row>
    <row r="71" spans="2:31" x14ac:dyDescent="0.3">
      <c r="B71" s="1"/>
      <c r="C71" s="16" t="s">
        <v>22</v>
      </c>
      <c r="D71" s="16"/>
      <c r="E71" s="16"/>
      <c r="F71" s="16"/>
      <c r="G71" s="16" t="s">
        <v>26</v>
      </c>
      <c r="H71" s="16"/>
      <c r="I71" s="16"/>
      <c r="J71" s="16"/>
      <c r="K71" s="16" t="s">
        <v>28</v>
      </c>
      <c r="L71" s="16"/>
      <c r="M71" s="16"/>
      <c r="N71" s="16"/>
      <c r="T71" s="21" t="s">
        <v>22</v>
      </c>
      <c r="U71" s="21" t="s">
        <v>26</v>
      </c>
      <c r="V71" s="21" t="s">
        <v>28</v>
      </c>
      <c r="W71" s="21"/>
      <c r="Y71" s="21"/>
      <c r="Z71" s="21"/>
      <c r="AA71" s="21"/>
      <c r="AC71" s="21"/>
      <c r="AD71" s="21"/>
      <c r="AE71" s="21"/>
    </row>
    <row r="72" spans="2:31" x14ac:dyDescent="0.3">
      <c r="B72" s="1"/>
      <c r="C72" s="1" t="s">
        <v>23</v>
      </c>
      <c r="D72" s="1" t="s">
        <v>24</v>
      </c>
      <c r="E72" s="1" t="s">
        <v>25</v>
      </c>
      <c r="F72" s="1" t="s">
        <v>27</v>
      </c>
      <c r="G72" s="1" t="s">
        <v>23</v>
      </c>
      <c r="H72" s="1" t="s">
        <v>24</v>
      </c>
      <c r="I72" s="1" t="s">
        <v>25</v>
      </c>
      <c r="J72" s="1" t="s">
        <v>27</v>
      </c>
      <c r="K72" s="1" t="s">
        <v>23</v>
      </c>
      <c r="L72" s="1" t="s">
        <v>24</v>
      </c>
      <c r="M72" s="1" t="s">
        <v>25</v>
      </c>
      <c r="N72" s="1" t="s">
        <v>27</v>
      </c>
      <c r="T72" s="1" t="s">
        <v>23</v>
      </c>
      <c r="U72" s="1" t="s">
        <v>23</v>
      </c>
      <c r="V72" s="1" t="s">
        <v>23</v>
      </c>
    </row>
    <row r="73" spans="2:31" x14ac:dyDescent="0.3">
      <c r="B73" s="1" t="s">
        <v>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S73" t="s">
        <v>29</v>
      </c>
      <c r="T73">
        <v>37287</v>
      </c>
      <c r="U73">
        <v>47109</v>
      </c>
      <c r="V73">
        <v>41780</v>
      </c>
    </row>
    <row r="74" spans="2:31" x14ac:dyDescent="0.3">
      <c r="B74" s="1" t="s">
        <v>1</v>
      </c>
      <c r="C74" s="1">
        <v>3775</v>
      </c>
      <c r="D74" s="1">
        <v>226</v>
      </c>
      <c r="E74" s="1">
        <v>422</v>
      </c>
      <c r="F74" s="1">
        <v>115</v>
      </c>
      <c r="G74" s="1">
        <v>3775</v>
      </c>
      <c r="H74" s="1">
        <v>235</v>
      </c>
      <c r="I74" s="1">
        <v>427</v>
      </c>
      <c r="J74" s="1">
        <v>120</v>
      </c>
      <c r="K74" s="1">
        <v>3775</v>
      </c>
      <c r="L74" s="1">
        <v>236</v>
      </c>
      <c r="M74" s="1">
        <v>427</v>
      </c>
      <c r="N74" s="1">
        <v>120</v>
      </c>
      <c r="T74" s="21" t="s">
        <v>22</v>
      </c>
      <c r="U74" s="21" t="s">
        <v>26</v>
      </c>
      <c r="V74" s="21" t="s">
        <v>28</v>
      </c>
    </row>
    <row r="75" spans="2:31" x14ac:dyDescent="0.3">
      <c r="B75" s="1" t="s">
        <v>2</v>
      </c>
      <c r="C75" s="1"/>
      <c r="D75" s="1"/>
      <c r="E75" s="1"/>
      <c r="F75" s="1"/>
      <c r="G75" s="1">
        <v>2351</v>
      </c>
      <c r="H75" s="1">
        <v>110</v>
      </c>
      <c r="I75" s="1">
        <v>213</v>
      </c>
      <c r="J75" s="1">
        <v>45</v>
      </c>
      <c r="K75" s="1"/>
      <c r="L75" s="1">
        <v>1484</v>
      </c>
      <c r="M75" s="1">
        <v>238</v>
      </c>
      <c r="N75" s="1">
        <v>136</v>
      </c>
      <c r="T75" s="1" t="s">
        <v>24</v>
      </c>
      <c r="U75" s="1" t="s">
        <v>24</v>
      </c>
      <c r="V75" s="1" t="s">
        <v>24</v>
      </c>
    </row>
    <row r="76" spans="2:31" x14ac:dyDescent="0.3">
      <c r="B76" s="1" t="s">
        <v>3</v>
      </c>
      <c r="C76" s="1">
        <v>3372</v>
      </c>
      <c r="D76" s="1">
        <v>147</v>
      </c>
      <c r="E76" s="1">
        <v>209</v>
      </c>
      <c r="F76" s="1">
        <v>57</v>
      </c>
      <c r="G76" s="1">
        <v>3185</v>
      </c>
      <c r="H76" s="1">
        <v>186</v>
      </c>
      <c r="I76" s="1"/>
      <c r="J76" s="1"/>
      <c r="K76" s="1">
        <v>3185</v>
      </c>
      <c r="L76" s="1">
        <v>186</v>
      </c>
      <c r="M76" s="1"/>
      <c r="N76" s="1"/>
      <c r="T76">
        <v>2291</v>
      </c>
      <c r="U76">
        <v>3133</v>
      </c>
      <c r="V76">
        <v>4214</v>
      </c>
    </row>
    <row r="77" spans="2:31" x14ac:dyDescent="0.3">
      <c r="B77" s="1" t="s">
        <v>4</v>
      </c>
      <c r="C77" s="1">
        <v>7652</v>
      </c>
      <c r="D77" s="1">
        <v>612</v>
      </c>
      <c r="E77" s="1">
        <v>618</v>
      </c>
      <c r="F77" s="1">
        <v>120</v>
      </c>
      <c r="G77" s="1">
        <v>7675</v>
      </c>
      <c r="H77" s="1">
        <v>626</v>
      </c>
      <c r="I77" s="1">
        <v>623</v>
      </c>
      <c r="J77" s="1">
        <v>121</v>
      </c>
      <c r="K77" s="1">
        <v>7675</v>
      </c>
      <c r="L77" s="1">
        <v>586</v>
      </c>
      <c r="M77" s="1">
        <v>632</v>
      </c>
      <c r="N77" s="1">
        <v>128</v>
      </c>
    </row>
    <row r="78" spans="2:31" x14ac:dyDescent="0.3">
      <c r="B78" s="1" t="s">
        <v>5</v>
      </c>
      <c r="C78" s="1">
        <v>2208</v>
      </c>
      <c r="D78" s="1">
        <v>172</v>
      </c>
      <c r="E78" s="1">
        <v>270</v>
      </c>
      <c r="F78" s="1">
        <v>74</v>
      </c>
      <c r="G78" s="1">
        <v>2208</v>
      </c>
      <c r="H78" s="1">
        <v>172</v>
      </c>
      <c r="I78" s="1">
        <v>270</v>
      </c>
      <c r="J78" s="1">
        <v>76</v>
      </c>
      <c r="K78" s="1">
        <v>2218</v>
      </c>
      <c r="L78" s="1">
        <v>172</v>
      </c>
      <c r="M78" s="1">
        <v>272</v>
      </c>
      <c r="N78" s="1">
        <v>76</v>
      </c>
      <c r="T78" s="21" t="s">
        <v>22</v>
      </c>
      <c r="U78" s="21" t="s">
        <v>26</v>
      </c>
      <c r="V78" s="21" t="s">
        <v>28</v>
      </c>
    </row>
    <row r="79" spans="2:31" x14ac:dyDescent="0.3">
      <c r="B79" s="1" t="s">
        <v>6</v>
      </c>
      <c r="C79" s="1">
        <v>2976</v>
      </c>
      <c r="D79" s="1">
        <v>211</v>
      </c>
      <c r="E79" s="1">
        <v>326</v>
      </c>
      <c r="F79" s="1">
        <v>90</v>
      </c>
      <c r="G79" s="1">
        <v>2976</v>
      </c>
      <c r="H79" s="1">
        <v>211</v>
      </c>
      <c r="I79" s="1">
        <v>326</v>
      </c>
      <c r="J79" s="1">
        <v>90</v>
      </c>
      <c r="K79" s="1">
        <v>2999</v>
      </c>
      <c r="L79" s="1">
        <v>208</v>
      </c>
      <c r="M79" s="1">
        <v>332</v>
      </c>
      <c r="N79" s="1">
        <v>90</v>
      </c>
      <c r="T79" s="1" t="s">
        <v>25</v>
      </c>
      <c r="U79" s="1" t="s">
        <v>25</v>
      </c>
      <c r="V79" s="1" t="s">
        <v>25</v>
      </c>
    </row>
    <row r="80" spans="2:31" x14ac:dyDescent="0.3">
      <c r="B80" s="1" t="s">
        <v>7</v>
      </c>
      <c r="C80" s="1"/>
      <c r="D80" s="1"/>
      <c r="E80" s="1"/>
      <c r="F80" s="1"/>
      <c r="G80" s="1">
        <v>3722</v>
      </c>
      <c r="H80" s="1">
        <v>332</v>
      </c>
      <c r="I80" s="1">
        <v>475</v>
      </c>
      <c r="J80" s="1">
        <v>159</v>
      </c>
      <c r="K80" s="1">
        <v>3722</v>
      </c>
      <c r="L80" s="1">
        <v>333</v>
      </c>
      <c r="M80" s="1">
        <v>476</v>
      </c>
      <c r="N80" s="1">
        <v>180</v>
      </c>
      <c r="T80">
        <v>3031</v>
      </c>
      <c r="U80">
        <v>3971</v>
      </c>
      <c r="V80">
        <v>3793</v>
      </c>
    </row>
    <row r="81" spans="2:25" x14ac:dyDescent="0.3">
      <c r="B81" s="1" t="s">
        <v>8</v>
      </c>
      <c r="C81" s="1"/>
      <c r="D81" s="1"/>
      <c r="E81" s="1"/>
      <c r="F81" s="1"/>
      <c r="G81" s="1">
        <v>3733</v>
      </c>
      <c r="H81" s="1">
        <v>355</v>
      </c>
      <c r="I81" s="1">
        <v>429</v>
      </c>
      <c r="J81" s="1">
        <v>96</v>
      </c>
      <c r="K81" s="1">
        <v>3733</v>
      </c>
      <c r="L81" s="1">
        <v>255</v>
      </c>
      <c r="M81" s="1">
        <v>429</v>
      </c>
      <c r="N81" s="1">
        <v>96</v>
      </c>
      <c r="T81" s="21" t="s">
        <v>22</v>
      </c>
      <c r="U81" s="21" t="s">
        <v>26</v>
      </c>
      <c r="V81" s="21" t="s">
        <v>28</v>
      </c>
    </row>
    <row r="82" spans="2:25" x14ac:dyDescent="0.3">
      <c r="B82" s="1" t="s">
        <v>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T82" s="1" t="s">
        <v>27</v>
      </c>
      <c r="U82" s="1" t="s">
        <v>27</v>
      </c>
      <c r="V82" s="1" t="s">
        <v>27</v>
      </c>
    </row>
    <row r="83" spans="2:25" x14ac:dyDescent="0.3">
      <c r="B83" s="1" t="s">
        <v>10</v>
      </c>
      <c r="C83" s="1">
        <v>2342</v>
      </c>
      <c r="D83" s="1">
        <v>150</v>
      </c>
      <c r="E83" s="1">
        <v>218</v>
      </c>
      <c r="F83" s="1">
        <v>38</v>
      </c>
      <c r="G83" s="1">
        <v>2366</v>
      </c>
      <c r="H83" s="1">
        <v>160</v>
      </c>
      <c r="I83" s="1">
        <v>222</v>
      </c>
      <c r="J83" s="1">
        <v>56</v>
      </c>
      <c r="K83" s="1">
        <v>2373</v>
      </c>
      <c r="L83" s="1">
        <v>160</v>
      </c>
      <c r="M83" s="1">
        <v>222</v>
      </c>
      <c r="N83" s="1">
        <v>56</v>
      </c>
      <c r="T83">
        <v>721</v>
      </c>
      <c r="U83">
        <v>1041</v>
      </c>
      <c r="V83">
        <v>1074</v>
      </c>
    </row>
    <row r="84" spans="2:25" x14ac:dyDescent="0.3">
      <c r="B84" s="1" t="s">
        <v>11</v>
      </c>
      <c r="C84" s="1">
        <v>2837</v>
      </c>
      <c r="D84" s="1">
        <v>163</v>
      </c>
      <c r="E84" s="1">
        <v>234</v>
      </c>
      <c r="F84" s="1">
        <v>53</v>
      </c>
      <c r="G84" s="1">
        <v>2887</v>
      </c>
      <c r="H84" s="1">
        <v>161</v>
      </c>
      <c r="I84" s="1">
        <v>245</v>
      </c>
      <c r="J84" s="1">
        <v>53</v>
      </c>
      <c r="K84" s="1">
        <v>2897</v>
      </c>
      <c r="L84" s="1">
        <v>162</v>
      </c>
      <c r="M84" s="1">
        <v>254</v>
      </c>
      <c r="N84" s="1">
        <v>52</v>
      </c>
    </row>
    <row r="85" spans="2:25" x14ac:dyDescent="0.3">
      <c r="B85" s="1" t="s">
        <v>12</v>
      </c>
      <c r="C85" s="1">
        <v>2508</v>
      </c>
      <c r="D85" s="1">
        <v>123</v>
      </c>
      <c r="E85" s="1">
        <v>144</v>
      </c>
      <c r="F85" s="1">
        <v>23</v>
      </c>
      <c r="G85" s="1">
        <v>2602</v>
      </c>
      <c r="H85" s="1">
        <v>108</v>
      </c>
      <c r="I85" s="1">
        <v>149</v>
      </c>
      <c r="J85" s="1">
        <v>29</v>
      </c>
      <c r="K85" s="1">
        <v>2602</v>
      </c>
      <c r="L85" s="1">
        <v>108</v>
      </c>
      <c r="M85" s="1">
        <v>149</v>
      </c>
      <c r="N85" s="1">
        <v>29</v>
      </c>
    </row>
    <row r="86" spans="2:25" x14ac:dyDescent="0.3">
      <c r="B86" s="1" t="s">
        <v>13</v>
      </c>
      <c r="C86" s="1">
        <v>1891</v>
      </c>
      <c r="D86" s="1">
        <v>110</v>
      </c>
      <c r="E86" s="1">
        <v>152</v>
      </c>
      <c r="F86" s="1">
        <v>28</v>
      </c>
      <c r="G86" s="1">
        <v>1873</v>
      </c>
      <c r="H86" s="1">
        <v>102</v>
      </c>
      <c r="I86" s="1">
        <v>152</v>
      </c>
      <c r="J86" s="1">
        <v>72</v>
      </c>
      <c r="K86" s="1"/>
      <c r="L86" s="1"/>
      <c r="M86" s="1"/>
      <c r="N86" s="1"/>
    </row>
    <row r="87" spans="2:25" x14ac:dyDescent="0.3">
      <c r="B87" s="1" t="s">
        <v>14</v>
      </c>
      <c r="C87" s="1">
        <v>1935</v>
      </c>
      <c r="D87" s="1">
        <v>99</v>
      </c>
      <c r="E87" s="1">
        <v>123</v>
      </c>
      <c r="F87" s="1">
        <v>33</v>
      </c>
      <c r="G87" s="1">
        <v>1954</v>
      </c>
      <c r="H87" s="1">
        <v>99</v>
      </c>
      <c r="I87" s="1">
        <v>123</v>
      </c>
      <c r="J87" s="1">
        <v>34</v>
      </c>
      <c r="K87" s="1">
        <v>1954</v>
      </c>
      <c r="L87" s="1">
        <v>104</v>
      </c>
      <c r="M87" s="1">
        <v>124</v>
      </c>
      <c r="N87" s="1">
        <v>37</v>
      </c>
    </row>
    <row r="88" spans="2:25" x14ac:dyDescent="0.3">
      <c r="B88" s="1" t="s">
        <v>15</v>
      </c>
      <c r="C88" s="1">
        <v>1145</v>
      </c>
      <c r="D88" s="1">
        <v>55</v>
      </c>
      <c r="E88" s="1">
        <v>83</v>
      </c>
      <c r="F88" s="1">
        <v>22</v>
      </c>
      <c r="G88" s="1">
        <v>1154</v>
      </c>
      <c r="H88" s="1">
        <v>55</v>
      </c>
      <c r="I88" s="1">
        <v>83</v>
      </c>
      <c r="J88" s="1">
        <v>22</v>
      </c>
      <c r="K88" s="1"/>
      <c r="L88" s="1"/>
      <c r="M88" s="1"/>
      <c r="N88" s="1"/>
    </row>
    <row r="89" spans="2:25" x14ac:dyDescent="0.3">
      <c r="B89" s="1" t="s">
        <v>16</v>
      </c>
      <c r="C89" s="1">
        <v>1734</v>
      </c>
      <c r="D89" s="1">
        <v>97</v>
      </c>
      <c r="E89" s="1">
        <v>106</v>
      </c>
      <c r="F89" s="1">
        <v>22</v>
      </c>
      <c r="G89" s="1">
        <v>1734</v>
      </c>
      <c r="H89" s="1">
        <v>95</v>
      </c>
      <c r="I89" s="1">
        <v>108</v>
      </c>
      <c r="J89" s="1">
        <v>22</v>
      </c>
      <c r="K89" s="1">
        <v>1742</v>
      </c>
      <c r="L89" s="1">
        <v>94</v>
      </c>
      <c r="M89" s="1">
        <v>112</v>
      </c>
      <c r="N89" s="1">
        <v>24</v>
      </c>
    </row>
    <row r="90" spans="2:25" x14ac:dyDescent="0.3">
      <c r="B90" s="1" t="s">
        <v>17</v>
      </c>
      <c r="C90" s="1">
        <v>2912</v>
      </c>
      <c r="D90" s="1">
        <v>126</v>
      </c>
      <c r="E90" s="1">
        <v>126</v>
      </c>
      <c r="F90" s="1">
        <v>46</v>
      </c>
      <c r="G90" s="1">
        <v>2914</v>
      </c>
      <c r="H90" s="1">
        <v>126</v>
      </c>
      <c r="I90" s="1">
        <v>126</v>
      </c>
      <c r="J90" s="1">
        <v>46</v>
      </c>
      <c r="K90" s="1">
        <v>2905</v>
      </c>
      <c r="L90" s="1">
        <v>126</v>
      </c>
      <c r="M90" s="1">
        <v>126</v>
      </c>
      <c r="N90" s="1">
        <v>50</v>
      </c>
    </row>
    <row r="92" spans="2:25" x14ac:dyDescent="0.3">
      <c r="B92" s="20" t="s">
        <v>29</v>
      </c>
      <c r="C92">
        <f>SUM(C74:C90)</f>
        <v>37287</v>
      </c>
      <c r="D92">
        <f>SUM(D74:D90)</f>
        <v>2291</v>
      </c>
      <c r="E92">
        <f>SUM(E74:E90)</f>
        <v>3031</v>
      </c>
      <c r="F92">
        <f t="shared" ref="F92:N92" si="7">SUM(F74:F90)</f>
        <v>721</v>
      </c>
      <c r="G92">
        <f t="shared" si="7"/>
        <v>47109</v>
      </c>
      <c r="H92">
        <f t="shared" si="7"/>
        <v>3133</v>
      </c>
      <c r="I92">
        <f t="shared" si="7"/>
        <v>3971</v>
      </c>
      <c r="J92">
        <f t="shared" si="7"/>
        <v>1041</v>
      </c>
      <c r="K92">
        <f t="shared" si="7"/>
        <v>41780</v>
      </c>
      <c r="L92">
        <f t="shared" si="7"/>
        <v>4214</v>
      </c>
      <c r="M92">
        <f t="shared" si="7"/>
        <v>3793</v>
      </c>
      <c r="N92">
        <f t="shared" si="7"/>
        <v>1074</v>
      </c>
    </row>
    <row r="94" spans="2:25" x14ac:dyDescent="0.3">
      <c r="V94" s="15" t="s">
        <v>15</v>
      </c>
      <c r="W94" s="15"/>
      <c r="X94" s="15" t="s">
        <v>42</v>
      </c>
      <c r="Y94" s="15"/>
    </row>
    <row r="95" spans="2:25" x14ac:dyDescent="0.3">
      <c r="U95" s="2" t="s">
        <v>30</v>
      </c>
      <c r="V95" s="2" t="s">
        <v>18</v>
      </c>
      <c r="W95" s="2" t="s">
        <v>19</v>
      </c>
      <c r="X95" s="5" t="s">
        <v>18</v>
      </c>
      <c r="Y95" s="5" t="s">
        <v>19</v>
      </c>
    </row>
    <row r="96" spans="2:25" x14ac:dyDescent="0.3">
      <c r="B96" s="3" t="s">
        <v>15</v>
      </c>
      <c r="J96" s="3" t="s">
        <v>42</v>
      </c>
      <c r="U96" s="6" t="s">
        <v>31</v>
      </c>
      <c r="V96" s="2" t="s">
        <v>40</v>
      </c>
      <c r="W96" s="2" t="s">
        <v>40</v>
      </c>
      <c r="X96" s="5" t="s">
        <v>40</v>
      </c>
      <c r="Y96" s="5" t="s">
        <v>40</v>
      </c>
    </row>
    <row r="97" spans="2:25" x14ac:dyDescent="0.3">
      <c r="U97" s="7" t="s">
        <v>39</v>
      </c>
      <c r="V97" s="2">
        <v>25026</v>
      </c>
      <c r="W97" s="2">
        <v>20523</v>
      </c>
      <c r="X97" s="5">
        <v>159177</v>
      </c>
      <c r="Y97" s="5">
        <v>121379</v>
      </c>
    </row>
    <row r="98" spans="2:25" x14ac:dyDescent="0.3">
      <c r="U98" s="7" t="s">
        <v>38</v>
      </c>
      <c r="V98" s="2">
        <v>46833</v>
      </c>
      <c r="W98" s="2">
        <v>33997</v>
      </c>
      <c r="X98" s="5">
        <v>345587</v>
      </c>
      <c r="Y98" s="5">
        <v>245104</v>
      </c>
    </row>
    <row r="99" spans="2:25" x14ac:dyDescent="0.3">
      <c r="B99" s="2" t="s">
        <v>30</v>
      </c>
      <c r="C99" s="2" t="s">
        <v>29</v>
      </c>
      <c r="D99" s="2" t="s">
        <v>18</v>
      </c>
      <c r="E99" s="2" t="s">
        <v>41</v>
      </c>
      <c r="F99" s="2" t="s">
        <v>19</v>
      </c>
      <c r="G99" s="2" t="s">
        <v>41</v>
      </c>
      <c r="J99" s="2" t="s">
        <v>30</v>
      </c>
      <c r="K99" s="2" t="s">
        <v>29</v>
      </c>
      <c r="L99" s="2" t="s">
        <v>18</v>
      </c>
      <c r="M99" s="2" t="s">
        <v>41</v>
      </c>
      <c r="N99" s="2" t="s">
        <v>19</v>
      </c>
      <c r="O99" s="2" t="s">
        <v>41</v>
      </c>
      <c r="U99" s="6" t="s">
        <v>32</v>
      </c>
      <c r="V99" s="2">
        <v>38938</v>
      </c>
      <c r="W99" s="2">
        <v>28626</v>
      </c>
      <c r="X99" s="5">
        <v>251555</v>
      </c>
      <c r="Y99" s="5">
        <v>167849</v>
      </c>
    </row>
    <row r="100" spans="2:25" x14ac:dyDescent="0.3">
      <c r="B100" s="6" t="s">
        <v>31</v>
      </c>
      <c r="C100" s="2" t="s">
        <v>40</v>
      </c>
      <c r="D100" s="2" t="s">
        <v>40</v>
      </c>
      <c r="E100" s="2" t="s">
        <v>40</v>
      </c>
      <c r="F100" s="2" t="s">
        <v>40</v>
      </c>
      <c r="G100" s="2" t="s">
        <v>40</v>
      </c>
      <c r="J100" s="6" t="s">
        <v>31</v>
      </c>
      <c r="K100" s="2" t="s">
        <v>40</v>
      </c>
      <c r="L100" s="2" t="s">
        <v>40</v>
      </c>
      <c r="M100" s="2" t="s">
        <v>40</v>
      </c>
      <c r="N100" s="2" t="s">
        <v>40</v>
      </c>
      <c r="O100" s="2" t="s">
        <v>40</v>
      </c>
      <c r="U100" s="6" t="s">
        <v>33</v>
      </c>
      <c r="V100" s="2">
        <v>36450</v>
      </c>
      <c r="W100" s="2">
        <v>23747</v>
      </c>
      <c r="X100" s="5">
        <v>239680</v>
      </c>
      <c r="Y100" s="5">
        <v>133593</v>
      </c>
    </row>
    <row r="101" spans="2:25" x14ac:dyDescent="0.3">
      <c r="B101" s="7" t="s">
        <v>39</v>
      </c>
      <c r="C101" s="2">
        <v>45549</v>
      </c>
      <c r="D101" s="2">
        <v>25026</v>
      </c>
      <c r="E101" s="11">
        <f>(D101/$C$109)*100</f>
        <v>5.7569149229834924</v>
      </c>
      <c r="F101" s="2">
        <v>20523</v>
      </c>
      <c r="G101" s="11">
        <f>(F101/$C$109)*100</f>
        <v>4.7210566996080168</v>
      </c>
      <c r="J101" s="7" t="s">
        <v>39</v>
      </c>
      <c r="K101" s="2">
        <v>280556</v>
      </c>
      <c r="L101" s="2">
        <v>159177</v>
      </c>
      <c r="M101" s="2">
        <f>(L101/$K$109)*100</f>
        <v>5.5297459596971956</v>
      </c>
      <c r="N101" s="2">
        <v>121379</v>
      </c>
      <c r="O101" s="2">
        <f>(N101/$K$109)*100</f>
        <v>4.2166584044308282</v>
      </c>
      <c r="U101" s="6" t="s">
        <v>34</v>
      </c>
      <c r="V101" s="2">
        <v>31862</v>
      </c>
      <c r="W101" s="2">
        <v>15766</v>
      </c>
      <c r="X101" s="5">
        <v>200808</v>
      </c>
      <c r="Y101" s="5">
        <v>97557</v>
      </c>
    </row>
    <row r="102" spans="2:25" x14ac:dyDescent="0.3">
      <c r="B102" s="7" t="s">
        <v>38</v>
      </c>
      <c r="C102" s="2">
        <v>80830</v>
      </c>
      <c r="D102" s="2">
        <v>46833</v>
      </c>
      <c r="E102" s="11">
        <f>(D102/$C$109)*100</f>
        <v>10.773339590349472</v>
      </c>
      <c r="F102" s="2">
        <v>33997</v>
      </c>
      <c r="G102" s="11">
        <f>(F102/$C$109)*100</f>
        <v>7.8205800622021009</v>
      </c>
      <c r="J102" s="7" t="s">
        <v>38</v>
      </c>
      <c r="K102" s="2">
        <v>590691</v>
      </c>
      <c r="L102" s="2">
        <v>345587</v>
      </c>
      <c r="M102" s="2">
        <f>(L102/$K$109)*100</f>
        <v>12.005555557485534</v>
      </c>
      <c r="N102" s="2">
        <v>245104</v>
      </c>
      <c r="O102" s="2">
        <f>(N102/$K$109)*100</f>
        <v>8.5148159200488855</v>
      </c>
      <c r="U102" s="6" t="s">
        <v>35</v>
      </c>
      <c r="V102" s="2">
        <v>22060</v>
      </c>
      <c r="W102" s="2">
        <v>9833</v>
      </c>
      <c r="X102" s="5">
        <v>148145</v>
      </c>
      <c r="Y102" s="5">
        <v>62185</v>
      </c>
    </row>
    <row r="103" spans="2:25" x14ac:dyDescent="0.3">
      <c r="B103" s="6" t="s">
        <v>32</v>
      </c>
      <c r="C103" s="2">
        <v>67564</v>
      </c>
      <c r="D103" s="2">
        <v>38938</v>
      </c>
      <c r="E103" s="11">
        <f>(D103/$C$109)*100</f>
        <v>8.9571946484109013</v>
      </c>
      <c r="F103" s="2">
        <v>28626</v>
      </c>
      <c r="G103" s="11">
        <f>(F103/$C$109)*100</f>
        <v>6.5850494120245129</v>
      </c>
      <c r="J103" s="6" t="s">
        <v>32</v>
      </c>
      <c r="K103" s="2">
        <v>419404</v>
      </c>
      <c r="L103" s="2">
        <v>251555</v>
      </c>
      <c r="M103" s="2">
        <f>(L103/$K$109)*100</f>
        <v>8.7389211060117233</v>
      </c>
      <c r="N103" s="2">
        <v>167849</v>
      </c>
      <c r="O103" s="2">
        <f>(N103/$K$109)*100</f>
        <v>5.8310078063364346</v>
      </c>
      <c r="U103" s="6" t="s">
        <v>37</v>
      </c>
      <c r="V103" s="2">
        <v>68148</v>
      </c>
      <c r="W103" s="2">
        <v>18629</v>
      </c>
      <c r="X103" s="5">
        <v>458976</v>
      </c>
      <c r="Y103" s="5">
        <v>118989</v>
      </c>
    </row>
    <row r="104" spans="2:25" x14ac:dyDescent="0.3">
      <c r="B104" s="6" t="s">
        <v>33</v>
      </c>
      <c r="C104" s="2">
        <v>60197</v>
      </c>
      <c r="D104" s="2">
        <v>36450</v>
      </c>
      <c r="E104" s="11">
        <f>(D104/$C$109)*100</f>
        <v>8.3848617015403306</v>
      </c>
      <c r="F104" s="2">
        <v>23747</v>
      </c>
      <c r="G104" s="11">
        <f>(F104/$C$109)*100</f>
        <v>5.4626971420158634</v>
      </c>
      <c r="J104" s="6" t="s">
        <v>33</v>
      </c>
      <c r="K104" s="2">
        <v>373273</v>
      </c>
      <c r="L104" s="2">
        <v>239680</v>
      </c>
      <c r="M104" s="2">
        <f>(L104/$K$109)*100</f>
        <v>8.3263883074830147</v>
      </c>
      <c r="N104" s="2">
        <v>133593</v>
      </c>
      <c r="O104" s="2">
        <f>(N104/$K$109)*100</f>
        <v>4.640967928744903</v>
      </c>
      <c r="U104" s="6" t="s">
        <v>36</v>
      </c>
      <c r="V104" s="2">
        <v>12058</v>
      </c>
      <c r="W104" s="2">
        <v>2216</v>
      </c>
      <c r="X104" s="5">
        <v>114080</v>
      </c>
      <c r="Y104" s="5">
        <v>13895</v>
      </c>
    </row>
    <row r="105" spans="2:25" x14ac:dyDescent="0.3">
      <c r="B105" s="6" t="s">
        <v>34</v>
      </c>
      <c r="C105" s="2">
        <v>47628</v>
      </c>
      <c r="D105" s="2">
        <v>31862</v>
      </c>
      <c r="E105" s="11">
        <f>(D105/$C$109)*100</f>
        <v>7.329450302729164</v>
      </c>
      <c r="F105" s="2">
        <v>15766</v>
      </c>
      <c r="G105" s="11">
        <f>(F105/$C$109)*100</f>
        <v>3.6267689872835351</v>
      </c>
      <c r="J105" s="6" t="s">
        <v>34</v>
      </c>
      <c r="K105" s="2">
        <v>298365</v>
      </c>
      <c r="L105" s="2">
        <v>200808</v>
      </c>
      <c r="M105" s="2">
        <f>(L105/$K$109)*100</f>
        <v>6.9759904174276093</v>
      </c>
      <c r="N105" s="2">
        <v>97557</v>
      </c>
      <c r="O105" s="2">
        <f>(N105/$K$109)*100</f>
        <v>3.3890915558791743</v>
      </c>
    </row>
    <row r="106" spans="2:25" x14ac:dyDescent="0.3">
      <c r="B106" s="6" t="s">
        <v>35</v>
      </c>
      <c r="C106" s="2">
        <v>31893</v>
      </c>
      <c r="D106" s="2">
        <v>22060</v>
      </c>
      <c r="E106" s="11">
        <f>(D106/$C$109)*100</f>
        <v>5.0746241189569181</v>
      </c>
      <c r="F106" s="2">
        <v>9833</v>
      </c>
      <c r="G106" s="11">
        <f>(F106/$C$109)*100</f>
        <v>2.26195734187232</v>
      </c>
      <c r="J106" s="6" t="s">
        <v>35</v>
      </c>
      <c r="K106" s="2">
        <v>210330</v>
      </c>
      <c r="L106" s="2">
        <v>148145</v>
      </c>
      <c r="M106" s="2">
        <f>(L106/$K$109)*100</f>
        <v>5.146498647413515</v>
      </c>
      <c r="N106" s="2">
        <v>62185</v>
      </c>
      <c r="O106" s="2">
        <f>(N106/$K$109)*100</f>
        <v>2.1602822801269661</v>
      </c>
    </row>
    <row r="107" spans="2:25" x14ac:dyDescent="0.3">
      <c r="B107" s="6" t="s">
        <v>37</v>
      </c>
      <c r="C107" s="2">
        <v>86777</v>
      </c>
      <c r="D107" s="2">
        <v>68148</v>
      </c>
      <c r="E107" s="11">
        <f>(D107/$C$109)*100</f>
        <v>15.676585877546515</v>
      </c>
      <c r="F107" s="2">
        <v>18629</v>
      </c>
      <c r="G107" s="11">
        <f>(F107/$C$109)*100</f>
        <v>4.2853659434292135</v>
      </c>
      <c r="J107" s="6" t="s">
        <v>37</v>
      </c>
      <c r="K107" s="2">
        <v>577965</v>
      </c>
      <c r="L107" s="2">
        <v>458976</v>
      </c>
      <c r="M107" s="2">
        <f>(L107/$K$109)*100</f>
        <v>15.944644525264204</v>
      </c>
      <c r="N107" s="2">
        <v>118989</v>
      </c>
      <c r="O107" s="2">
        <f>(N107/$K$109)*100</f>
        <v>4.1336307506637873</v>
      </c>
    </row>
    <row r="108" spans="2:25" x14ac:dyDescent="0.3">
      <c r="B108" s="6" t="s">
        <v>36</v>
      </c>
      <c r="C108" s="2">
        <v>14274</v>
      </c>
      <c r="D108" s="2">
        <v>12058</v>
      </c>
      <c r="E108" s="11">
        <f>(D108/$C$109)*100</f>
        <v>2.773790463571284</v>
      </c>
      <c r="F108" s="2">
        <v>2216</v>
      </c>
      <c r="G108" s="11">
        <f>(F108/$C$109)*100</f>
        <v>0.50976278547636134</v>
      </c>
      <c r="J108" s="6" t="s">
        <v>36</v>
      </c>
      <c r="K108" s="2">
        <v>127975</v>
      </c>
      <c r="L108" s="2">
        <v>114080</v>
      </c>
      <c r="M108" s="2">
        <f>(L108/$K$109)*100</f>
        <v>3.96309403420253</v>
      </c>
      <c r="N108" s="2">
        <v>13895</v>
      </c>
      <c r="O108" s="2">
        <f>(N108/$K$109)*100</f>
        <v>0.48270679878369704</v>
      </c>
    </row>
    <row r="109" spans="2:25" x14ac:dyDescent="0.3">
      <c r="B109" s="4" t="s">
        <v>29</v>
      </c>
      <c r="C109" s="2">
        <f>SUM(C101:C108)</f>
        <v>434712</v>
      </c>
      <c r="D109" s="1"/>
      <c r="E109" s="1"/>
      <c r="F109" s="1"/>
      <c r="G109" s="1"/>
      <c r="J109" s="6" t="s">
        <v>29</v>
      </c>
      <c r="K109" s="2">
        <f>SUM(K101:K108)</f>
        <v>2878559</v>
      </c>
      <c r="L109" s="2"/>
      <c r="M109" s="2"/>
      <c r="N109" s="2"/>
      <c r="O109" s="2"/>
    </row>
    <row r="113" spans="1:19" x14ac:dyDescent="0.3">
      <c r="B113" s="2" t="s">
        <v>30</v>
      </c>
      <c r="C113" s="2" t="s">
        <v>29</v>
      </c>
      <c r="D113" t="s">
        <v>68</v>
      </c>
      <c r="L113" s="2" t="s">
        <v>30</v>
      </c>
      <c r="M113" s="2" t="s">
        <v>29</v>
      </c>
      <c r="N113" t="s">
        <v>69</v>
      </c>
      <c r="Q113" s="2" t="s">
        <v>30</v>
      </c>
      <c r="R113" t="s">
        <v>69</v>
      </c>
    </row>
    <row r="114" spans="1:19" x14ac:dyDescent="0.3">
      <c r="B114" s="6" t="s">
        <v>31</v>
      </c>
      <c r="C114" s="2" t="s">
        <v>40</v>
      </c>
      <c r="D114">
        <f>(0/$C$123)*100</f>
        <v>0</v>
      </c>
      <c r="L114" s="6" t="s">
        <v>31</v>
      </c>
      <c r="M114" s="2" t="s">
        <v>40</v>
      </c>
      <c r="N114">
        <v>0</v>
      </c>
      <c r="Q114" s="6" t="s">
        <v>31</v>
      </c>
      <c r="R114">
        <v>0</v>
      </c>
    </row>
    <row r="115" spans="1:19" x14ac:dyDescent="0.3">
      <c r="B115" s="7" t="s">
        <v>39</v>
      </c>
      <c r="C115" s="2">
        <v>45549</v>
      </c>
      <c r="D115" s="12">
        <f>(C115/$C$123)*100</f>
        <v>10.477971622591509</v>
      </c>
      <c r="L115" s="7" t="s">
        <v>39</v>
      </c>
      <c r="M115" s="2">
        <v>280556</v>
      </c>
      <c r="N115" s="12">
        <f>(M115/$M$123)*100</f>
        <v>9.7464043641280238</v>
      </c>
      <c r="Q115" s="7" t="s">
        <v>39</v>
      </c>
      <c r="R115">
        <v>9.7464043641280238</v>
      </c>
    </row>
    <row r="116" spans="1:19" x14ac:dyDescent="0.3">
      <c r="B116" s="7" t="s">
        <v>38</v>
      </c>
      <c r="C116" s="2">
        <v>80830</v>
      </c>
      <c r="D116" s="12">
        <f t="shared" ref="D116:D122" si="8">(C116/$C$123)*100</f>
        <v>18.593919652551573</v>
      </c>
      <c r="L116" s="7" t="s">
        <v>38</v>
      </c>
      <c r="M116" s="2">
        <v>590691</v>
      </c>
      <c r="N116" s="12">
        <f t="shared" ref="N116:N122" si="9">(M116/$M$123)*100</f>
        <v>20.520371477534418</v>
      </c>
      <c r="Q116" s="7" t="s">
        <v>38</v>
      </c>
      <c r="R116">
        <v>20.520371477534418</v>
      </c>
    </row>
    <row r="117" spans="1:19" x14ac:dyDescent="0.3">
      <c r="B117" s="6" t="s">
        <v>32</v>
      </c>
      <c r="C117" s="2">
        <v>67564</v>
      </c>
      <c r="D117" s="12">
        <f t="shared" si="8"/>
        <v>15.542244060435415</v>
      </c>
      <c r="L117" s="6" t="s">
        <v>32</v>
      </c>
      <c r="M117" s="2">
        <v>419404</v>
      </c>
      <c r="N117" s="12">
        <f t="shared" si="9"/>
        <v>14.569928912348157</v>
      </c>
      <c r="Q117" s="6" t="s">
        <v>32</v>
      </c>
      <c r="R117">
        <v>14.569928912348157</v>
      </c>
    </row>
    <row r="118" spans="1:19" x14ac:dyDescent="0.3">
      <c r="B118" s="6" t="s">
        <v>33</v>
      </c>
      <c r="C118" s="2">
        <v>60197</v>
      </c>
      <c r="D118" s="12">
        <f t="shared" si="8"/>
        <v>13.847558843556193</v>
      </c>
      <c r="L118" s="6" t="s">
        <v>33</v>
      </c>
      <c r="M118" s="2">
        <v>373273</v>
      </c>
      <c r="N118" s="12">
        <f t="shared" si="9"/>
        <v>12.967356236227918</v>
      </c>
      <c r="Q118" s="6" t="s">
        <v>33</v>
      </c>
      <c r="R118">
        <v>12.967356236227918</v>
      </c>
    </row>
    <row r="119" spans="1:19" x14ac:dyDescent="0.3">
      <c r="B119" s="6" t="s">
        <v>34</v>
      </c>
      <c r="C119" s="2">
        <v>47628</v>
      </c>
      <c r="D119" s="12">
        <f t="shared" si="8"/>
        <v>10.956219290012697</v>
      </c>
      <c r="L119" s="6" t="s">
        <v>34</v>
      </c>
      <c r="M119" s="2">
        <v>298365</v>
      </c>
      <c r="N119" s="12">
        <f t="shared" si="9"/>
        <v>10.365081973306783</v>
      </c>
      <c r="Q119" s="6" t="s">
        <v>34</v>
      </c>
      <c r="R119">
        <v>10.365081973306783</v>
      </c>
    </row>
    <row r="120" spans="1:19" x14ac:dyDescent="0.3">
      <c r="B120" s="6" t="s">
        <v>35</v>
      </c>
      <c r="C120" s="2">
        <v>31893</v>
      </c>
      <c r="D120" s="12">
        <f t="shared" si="8"/>
        <v>7.3365814608292386</v>
      </c>
      <c r="L120" s="6" t="s">
        <v>35</v>
      </c>
      <c r="M120" s="2">
        <v>210330</v>
      </c>
      <c r="N120" s="12">
        <f t="shared" si="9"/>
        <v>7.3067809275404807</v>
      </c>
      <c r="Q120" s="6" t="s">
        <v>35</v>
      </c>
      <c r="R120">
        <v>7.3067809275404807</v>
      </c>
    </row>
    <row r="121" spans="1:19" x14ac:dyDescent="0.3">
      <c r="B121" s="6" t="s">
        <v>37</v>
      </c>
      <c r="C121" s="2">
        <v>86777</v>
      </c>
      <c r="D121" s="12">
        <f t="shared" si="8"/>
        <v>19.961951820975727</v>
      </c>
      <c r="L121" s="6" t="s">
        <v>37</v>
      </c>
      <c r="M121" s="2">
        <v>577965</v>
      </c>
      <c r="N121" s="12">
        <f t="shared" si="9"/>
        <v>20.078275275927989</v>
      </c>
      <c r="Q121" s="6" t="s">
        <v>37</v>
      </c>
      <c r="R121">
        <v>20.078275275927989</v>
      </c>
    </row>
    <row r="122" spans="1:19" x14ac:dyDescent="0.3">
      <c r="B122" s="6" t="s">
        <v>36</v>
      </c>
      <c r="C122" s="2">
        <v>14274</v>
      </c>
      <c r="D122" s="12">
        <f t="shared" si="8"/>
        <v>3.2835532490476451</v>
      </c>
      <c r="L122" s="6" t="s">
        <v>36</v>
      </c>
      <c r="M122" s="2">
        <v>127975</v>
      </c>
      <c r="N122" s="12">
        <f t="shared" si="9"/>
        <v>4.4458008329862269</v>
      </c>
      <c r="Q122" s="6" t="s">
        <v>36</v>
      </c>
      <c r="R122">
        <v>4.4458008329862269</v>
      </c>
    </row>
    <row r="123" spans="1:19" x14ac:dyDescent="0.3">
      <c r="B123" s="4" t="s">
        <v>29</v>
      </c>
      <c r="C123" s="2">
        <f>SUM(C115:C122)</f>
        <v>434712</v>
      </c>
      <c r="L123" s="6" t="s">
        <v>29</v>
      </c>
      <c r="M123" s="2">
        <f>SUM(M115:M122)</f>
        <v>2878559</v>
      </c>
      <c r="Q123" s="6" t="s">
        <v>29</v>
      </c>
    </row>
    <row r="124" spans="1:19" x14ac:dyDescent="0.3">
      <c r="A124" t="s">
        <v>43</v>
      </c>
    </row>
    <row r="126" spans="1:19" x14ac:dyDescent="0.3">
      <c r="A126" s="2"/>
      <c r="B126" s="14">
        <v>1981</v>
      </c>
      <c r="C126" s="14"/>
      <c r="D126" s="14">
        <v>1985</v>
      </c>
      <c r="E126" s="14"/>
      <c r="F126" s="14">
        <v>1986</v>
      </c>
      <c r="G126" s="14"/>
      <c r="H126" s="14">
        <v>1987</v>
      </c>
      <c r="I126" s="14"/>
      <c r="J126" s="14">
        <v>1988</v>
      </c>
      <c r="K126" s="14"/>
      <c r="L126" s="14">
        <v>1989</v>
      </c>
      <c r="M126" s="14"/>
      <c r="N126" s="14">
        <v>1990</v>
      </c>
      <c r="O126" s="14"/>
      <c r="P126" s="14">
        <v>1991</v>
      </c>
      <c r="Q126" s="14"/>
      <c r="R126" s="14">
        <v>1992</v>
      </c>
      <c r="S126" s="14"/>
    </row>
    <row r="127" spans="1:19" x14ac:dyDescent="0.3">
      <c r="A127" s="2" t="s">
        <v>44</v>
      </c>
      <c r="B127" s="2" t="s">
        <v>47</v>
      </c>
      <c r="C127" s="2" t="s">
        <v>48</v>
      </c>
      <c r="D127" s="2" t="s">
        <v>47</v>
      </c>
      <c r="E127" s="2" t="s">
        <v>48</v>
      </c>
      <c r="F127" s="2" t="s">
        <v>47</v>
      </c>
      <c r="G127" s="2" t="s">
        <v>48</v>
      </c>
      <c r="H127" s="2" t="s">
        <v>47</v>
      </c>
      <c r="I127" s="2" t="s">
        <v>48</v>
      </c>
      <c r="J127" s="2" t="s">
        <v>47</v>
      </c>
      <c r="K127" s="2" t="s">
        <v>48</v>
      </c>
      <c r="L127" s="2" t="s">
        <v>47</v>
      </c>
      <c r="M127" s="2" t="s">
        <v>48</v>
      </c>
      <c r="N127" s="2" t="s">
        <v>47</v>
      </c>
      <c r="O127" s="2" t="s">
        <v>48</v>
      </c>
      <c r="P127" s="2" t="s">
        <v>47</v>
      </c>
      <c r="Q127" s="2" t="s">
        <v>48</v>
      </c>
      <c r="R127" s="2" t="s">
        <v>47</v>
      </c>
      <c r="S127" s="2" t="s">
        <v>48</v>
      </c>
    </row>
    <row r="128" spans="1:19" x14ac:dyDescent="0.3">
      <c r="A128" s="2" t="s">
        <v>45</v>
      </c>
      <c r="B128" s="2">
        <v>286083</v>
      </c>
      <c r="C128" s="2">
        <v>145010</v>
      </c>
      <c r="D128" s="2">
        <v>302293</v>
      </c>
      <c r="E128" s="2">
        <v>186461</v>
      </c>
      <c r="F128" s="2">
        <v>310985</v>
      </c>
      <c r="G128" s="2">
        <v>145566</v>
      </c>
      <c r="H128" s="2">
        <v>366784</v>
      </c>
      <c r="I128" s="2">
        <v>182409</v>
      </c>
      <c r="J128" s="2">
        <v>431273</v>
      </c>
      <c r="K128" s="2">
        <v>188314</v>
      </c>
      <c r="L128" s="2">
        <v>416232</v>
      </c>
      <c r="M128" s="2">
        <v>222902</v>
      </c>
      <c r="N128" s="2">
        <v>412392</v>
      </c>
      <c r="O128" s="2">
        <v>195851</v>
      </c>
      <c r="P128" s="2">
        <v>470170</v>
      </c>
      <c r="Q128" s="2">
        <v>237246</v>
      </c>
      <c r="R128" s="2">
        <v>464736</v>
      </c>
      <c r="S128" s="2">
        <v>285125</v>
      </c>
    </row>
    <row r="129" spans="1:19" x14ac:dyDescent="0.3">
      <c r="A129" s="2" t="s">
        <v>46</v>
      </c>
      <c r="B129" s="2">
        <v>167001</v>
      </c>
      <c r="C129" s="2">
        <v>78145</v>
      </c>
      <c r="D129" s="2">
        <v>254650</v>
      </c>
      <c r="E129" s="2">
        <v>129831</v>
      </c>
      <c r="F129" s="2">
        <v>258883</v>
      </c>
      <c r="G129" s="2">
        <v>112287</v>
      </c>
      <c r="H129" s="2">
        <v>278024</v>
      </c>
      <c r="I129" s="2">
        <v>98995</v>
      </c>
      <c r="J129" s="2">
        <v>259293</v>
      </c>
      <c r="K129" s="2">
        <v>123655</v>
      </c>
      <c r="L129" s="2">
        <v>262874</v>
      </c>
      <c r="M129" s="2">
        <v>121815</v>
      </c>
      <c r="N129" s="2">
        <v>280804</v>
      </c>
      <c r="O129" s="2">
        <v>131802</v>
      </c>
      <c r="P129" s="2">
        <v>308300</v>
      </c>
      <c r="Q129" s="2">
        <v>120093</v>
      </c>
      <c r="R129" s="2">
        <v>291492</v>
      </c>
      <c r="S129" s="2">
        <v>114066</v>
      </c>
    </row>
    <row r="130" spans="1:19" x14ac:dyDescent="0.3">
      <c r="A130" s="2"/>
    </row>
    <row r="131" spans="1:19" x14ac:dyDescent="0.3">
      <c r="A131" s="2" t="s">
        <v>44</v>
      </c>
    </row>
    <row r="132" spans="1:19" x14ac:dyDescent="0.3">
      <c r="A132" s="2" t="s">
        <v>45</v>
      </c>
    </row>
    <row r="133" spans="1:19" x14ac:dyDescent="0.3">
      <c r="A133" s="2" t="s">
        <v>46</v>
      </c>
    </row>
    <row r="156" spans="2:14" x14ac:dyDescent="0.3">
      <c r="B156" s="2"/>
      <c r="C156" s="14" t="s">
        <v>22</v>
      </c>
      <c r="D156" s="14"/>
      <c r="E156" s="14"/>
      <c r="F156" s="14"/>
      <c r="G156" s="14" t="s">
        <v>26</v>
      </c>
      <c r="H156" s="14"/>
      <c r="I156" s="14"/>
      <c r="J156" s="14"/>
      <c r="K156" s="14" t="s">
        <v>28</v>
      </c>
      <c r="L156" s="14"/>
      <c r="M156" s="14"/>
      <c r="N156" s="14"/>
    </row>
    <row r="157" spans="2:14" x14ac:dyDescent="0.3">
      <c r="B157" s="2"/>
      <c r="C157" s="2" t="s">
        <v>23</v>
      </c>
      <c r="D157" s="2" t="s">
        <v>24</v>
      </c>
      <c r="E157" s="2" t="s">
        <v>25</v>
      </c>
      <c r="F157" s="2" t="s">
        <v>27</v>
      </c>
      <c r="G157" s="2" t="s">
        <v>23</v>
      </c>
      <c r="H157" s="2" t="s">
        <v>24</v>
      </c>
      <c r="I157" s="2" t="s">
        <v>25</v>
      </c>
      <c r="J157" s="2" t="s">
        <v>27</v>
      </c>
      <c r="K157" s="2" t="s">
        <v>23</v>
      </c>
      <c r="L157" s="2" t="s">
        <v>24</v>
      </c>
      <c r="M157" s="2" t="s">
        <v>25</v>
      </c>
      <c r="N157" s="2" t="s">
        <v>27</v>
      </c>
    </row>
    <row r="158" spans="2:14" x14ac:dyDescent="0.3">
      <c r="B158" s="2" t="s">
        <v>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2:14" x14ac:dyDescent="0.3">
      <c r="B159" s="2" t="s">
        <v>1</v>
      </c>
      <c r="C159" s="2">
        <v>482245</v>
      </c>
      <c r="D159" s="2">
        <v>47575</v>
      </c>
      <c r="E159" s="2">
        <v>219549</v>
      </c>
      <c r="F159" s="2">
        <v>81524</v>
      </c>
      <c r="G159" s="2">
        <v>53564</v>
      </c>
      <c r="H159" s="2">
        <v>54587</v>
      </c>
      <c r="I159" s="2">
        <v>222515</v>
      </c>
      <c r="J159" s="2">
        <v>98710</v>
      </c>
      <c r="K159" s="2">
        <v>535364</v>
      </c>
      <c r="L159" s="2">
        <v>55871</v>
      </c>
      <c r="M159" s="2">
        <v>227614</v>
      </c>
      <c r="N159" s="2">
        <v>103948</v>
      </c>
    </row>
    <row r="160" spans="2:14" x14ac:dyDescent="0.3">
      <c r="B160" s="2" t="s">
        <v>2</v>
      </c>
      <c r="C160" s="2">
        <v>251626</v>
      </c>
      <c r="D160" s="2">
        <v>26249</v>
      </c>
      <c r="E160" s="2">
        <v>79871</v>
      </c>
      <c r="F160" s="2">
        <v>40751</v>
      </c>
      <c r="G160" s="2">
        <v>241706</v>
      </c>
      <c r="H160" s="2">
        <v>26411</v>
      </c>
      <c r="I160" s="2">
        <v>80482</v>
      </c>
      <c r="J160" s="2">
        <v>43792</v>
      </c>
      <c r="K160" s="2" t="s">
        <v>40</v>
      </c>
      <c r="L160" s="2">
        <v>26249</v>
      </c>
      <c r="M160" s="2">
        <v>81035</v>
      </c>
      <c r="N160" s="2">
        <v>30472</v>
      </c>
    </row>
    <row r="161" spans="2:14" x14ac:dyDescent="0.3">
      <c r="B161" s="2" t="s">
        <v>3</v>
      </c>
      <c r="C161" s="2">
        <v>321076</v>
      </c>
      <c r="D161" s="2">
        <v>26931</v>
      </c>
      <c r="E161" s="2">
        <v>97084</v>
      </c>
      <c r="F161" s="2">
        <v>46074</v>
      </c>
      <c r="G161" s="2">
        <v>242602</v>
      </c>
      <c r="H161" s="2">
        <v>17065</v>
      </c>
      <c r="I161" s="2">
        <v>98127</v>
      </c>
      <c r="J161" s="2">
        <v>46518</v>
      </c>
      <c r="K161" s="2">
        <v>243509</v>
      </c>
      <c r="L161" s="2">
        <v>18090</v>
      </c>
      <c r="M161" s="2">
        <v>98206</v>
      </c>
      <c r="N161" s="2">
        <v>46329</v>
      </c>
    </row>
    <row r="162" spans="2:14" x14ac:dyDescent="0.3">
      <c r="B162" s="2" t="s">
        <v>4</v>
      </c>
      <c r="C162" s="2">
        <v>1354052</v>
      </c>
      <c r="D162" s="2">
        <v>120354</v>
      </c>
      <c r="E162" s="2">
        <v>281827</v>
      </c>
      <c r="F162" s="8" t="s">
        <v>49</v>
      </c>
      <c r="G162" s="2">
        <v>1511851</v>
      </c>
      <c r="H162" s="2">
        <v>122694</v>
      </c>
      <c r="I162" s="2">
        <v>285003</v>
      </c>
      <c r="J162" s="2">
        <v>85045</v>
      </c>
      <c r="K162" s="2">
        <v>1472265</v>
      </c>
      <c r="L162" s="2">
        <v>130531</v>
      </c>
      <c r="M162" s="9">
        <v>316879</v>
      </c>
      <c r="N162" s="2">
        <v>117935</v>
      </c>
    </row>
    <row r="163" spans="2:14" x14ac:dyDescent="0.3">
      <c r="B163" s="2" t="s">
        <v>5</v>
      </c>
      <c r="C163" s="2">
        <v>326905</v>
      </c>
      <c r="D163" s="2">
        <v>88535</v>
      </c>
      <c r="E163" s="2">
        <v>233932</v>
      </c>
      <c r="F163" s="2">
        <v>71315</v>
      </c>
      <c r="G163" s="2">
        <v>328905</v>
      </c>
      <c r="H163" s="2">
        <v>95635</v>
      </c>
      <c r="I163" s="2">
        <v>303875</v>
      </c>
      <c r="J163" s="2">
        <v>72755</v>
      </c>
      <c r="K163" s="2">
        <v>397202</v>
      </c>
      <c r="L163" s="2">
        <v>79108</v>
      </c>
      <c r="M163" s="2">
        <v>316116</v>
      </c>
      <c r="N163" s="2">
        <v>81565</v>
      </c>
    </row>
    <row r="164" spans="2:14" x14ac:dyDescent="0.3">
      <c r="B164" s="2" t="s">
        <v>6</v>
      </c>
      <c r="C164" s="2">
        <v>533451</v>
      </c>
      <c r="D164" s="2">
        <v>21800</v>
      </c>
      <c r="E164" s="2">
        <v>203908</v>
      </c>
      <c r="F164" s="2">
        <v>76767</v>
      </c>
      <c r="G164" s="2">
        <v>548310</v>
      </c>
      <c r="H164" s="2">
        <v>24159</v>
      </c>
      <c r="I164" s="2">
        <v>216172</v>
      </c>
      <c r="J164" s="2">
        <v>813190</v>
      </c>
      <c r="K164" s="2">
        <v>563451</v>
      </c>
      <c r="L164" s="2">
        <v>47935</v>
      </c>
      <c r="M164" s="2">
        <v>208277</v>
      </c>
      <c r="N164" s="2">
        <v>76868</v>
      </c>
    </row>
    <row r="165" spans="2:14" x14ac:dyDescent="0.3">
      <c r="B165" s="2" t="s">
        <v>7</v>
      </c>
      <c r="C165" s="2">
        <v>498812</v>
      </c>
      <c r="D165" s="2">
        <v>80840</v>
      </c>
      <c r="E165" s="2">
        <v>317216</v>
      </c>
      <c r="F165" s="2">
        <v>119266</v>
      </c>
      <c r="G165" s="2">
        <v>568533</v>
      </c>
      <c r="H165" s="2">
        <v>90273</v>
      </c>
      <c r="I165" s="2">
        <v>334180</v>
      </c>
      <c r="J165" s="2">
        <v>129840</v>
      </c>
      <c r="K165" s="2">
        <v>618817</v>
      </c>
      <c r="L165" s="2">
        <v>110510</v>
      </c>
      <c r="M165" s="2">
        <v>346270</v>
      </c>
      <c r="N165" s="2">
        <v>139880</v>
      </c>
    </row>
    <row r="166" spans="2:14" x14ac:dyDescent="0.3">
      <c r="B166" s="2" t="s">
        <v>8</v>
      </c>
      <c r="C166" s="2">
        <v>577708</v>
      </c>
      <c r="D166" s="2">
        <v>78487</v>
      </c>
      <c r="E166" s="2">
        <v>197062</v>
      </c>
      <c r="F166" s="2">
        <v>56099</v>
      </c>
      <c r="G166" s="2">
        <v>600478</v>
      </c>
      <c r="H166" s="2">
        <v>57221</v>
      </c>
      <c r="I166" s="2">
        <v>201003</v>
      </c>
      <c r="J166" s="2">
        <v>81484</v>
      </c>
      <c r="K166" s="2">
        <v>675859</v>
      </c>
      <c r="L166" s="2">
        <v>58365</v>
      </c>
      <c r="M166" s="2">
        <v>205023</v>
      </c>
      <c r="N166" s="2">
        <v>83088</v>
      </c>
    </row>
    <row r="167" spans="2:14" x14ac:dyDescent="0.3">
      <c r="B167" s="2" t="s">
        <v>9</v>
      </c>
      <c r="C167" s="2" t="s">
        <v>40</v>
      </c>
      <c r="D167" s="2">
        <v>10192</v>
      </c>
      <c r="E167" s="2">
        <v>130461</v>
      </c>
      <c r="F167" s="2">
        <v>70531</v>
      </c>
      <c r="G167" s="2" t="s">
        <v>40</v>
      </c>
      <c r="H167" s="2">
        <v>11090</v>
      </c>
      <c r="I167" s="2">
        <v>126311</v>
      </c>
      <c r="J167" s="2">
        <v>71502</v>
      </c>
      <c r="K167" s="2" t="s">
        <v>40</v>
      </c>
      <c r="L167" s="2">
        <v>9534</v>
      </c>
      <c r="M167" s="2">
        <v>129855</v>
      </c>
      <c r="N167" s="2">
        <v>69532</v>
      </c>
    </row>
    <row r="168" spans="2:14" x14ac:dyDescent="0.3">
      <c r="B168" s="2" t="s">
        <v>10</v>
      </c>
      <c r="C168" s="2">
        <v>450325</v>
      </c>
      <c r="D168" s="2">
        <v>60770</v>
      </c>
      <c r="E168" s="2">
        <v>84975</v>
      </c>
      <c r="F168" s="2" t="s">
        <v>40</v>
      </c>
      <c r="G168" s="2">
        <v>412513</v>
      </c>
      <c r="H168" s="2">
        <v>63072</v>
      </c>
      <c r="I168" s="2">
        <v>145126</v>
      </c>
      <c r="J168" s="2">
        <v>70489</v>
      </c>
      <c r="K168" s="2">
        <v>420221</v>
      </c>
      <c r="L168" s="2">
        <v>66056</v>
      </c>
      <c r="M168" s="2">
        <v>152294</v>
      </c>
      <c r="N168" s="2">
        <v>74076</v>
      </c>
    </row>
    <row r="169" spans="2:14" x14ac:dyDescent="0.3">
      <c r="B169" s="2" t="s">
        <v>11</v>
      </c>
      <c r="C169" s="2">
        <v>366890</v>
      </c>
      <c r="D169" s="2">
        <v>28930</v>
      </c>
      <c r="E169" s="2">
        <v>78268</v>
      </c>
      <c r="F169" s="2">
        <v>43996</v>
      </c>
      <c r="G169" s="2">
        <v>381351</v>
      </c>
      <c r="H169" s="2">
        <v>30099</v>
      </c>
      <c r="I169" s="2">
        <v>86000</v>
      </c>
      <c r="J169" s="2">
        <v>43002</v>
      </c>
      <c r="K169" s="2">
        <v>344377</v>
      </c>
      <c r="L169" s="2">
        <v>31128</v>
      </c>
      <c r="M169" s="2">
        <v>86815</v>
      </c>
      <c r="N169" s="2">
        <v>44176</v>
      </c>
    </row>
    <row r="170" spans="2:14" x14ac:dyDescent="0.3">
      <c r="B170" s="2" t="s">
        <v>12</v>
      </c>
      <c r="C170" s="2">
        <v>297487</v>
      </c>
      <c r="D170" s="2">
        <v>26011</v>
      </c>
      <c r="E170" s="2">
        <v>41300</v>
      </c>
      <c r="F170" s="2">
        <v>32332</v>
      </c>
      <c r="G170" s="2">
        <v>297949</v>
      </c>
      <c r="H170" s="2">
        <v>18269</v>
      </c>
      <c r="I170" s="2">
        <v>72502</v>
      </c>
      <c r="J170" s="2">
        <v>27892</v>
      </c>
      <c r="K170" s="2">
        <v>284693</v>
      </c>
      <c r="L170" s="2">
        <v>20928</v>
      </c>
      <c r="M170" s="2">
        <v>82595</v>
      </c>
      <c r="N170" s="2">
        <v>28080</v>
      </c>
    </row>
    <row r="171" spans="2:14" x14ac:dyDescent="0.3">
      <c r="B171" s="2" t="s">
        <v>13</v>
      </c>
      <c r="C171" s="2">
        <v>298188</v>
      </c>
      <c r="D171" s="2">
        <v>25544</v>
      </c>
      <c r="E171" s="2">
        <v>62723</v>
      </c>
      <c r="F171" s="2">
        <v>17629</v>
      </c>
      <c r="G171" s="2">
        <v>211603</v>
      </c>
      <c r="H171" s="2">
        <v>335046</v>
      </c>
      <c r="I171" s="2">
        <v>74409</v>
      </c>
      <c r="J171" s="2">
        <v>46074</v>
      </c>
      <c r="K171" s="2"/>
      <c r="L171" s="2">
        <v>27474</v>
      </c>
      <c r="M171" s="2">
        <v>99192</v>
      </c>
      <c r="N171" s="2">
        <v>46554</v>
      </c>
    </row>
    <row r="172" spans="2:14" x14ac:dyDescent="0.3">
      <c r="B172" s="2" t="s">
        <v>14</v>
      </c>
      <c r="C172" s="2">
        <v>218607</v>
      </c>
      <c r="D172" s="2">
        <v>12510</v>
      </c>
      <c r="E172" s="2">
        <v>41492</v>
      </c>
      <c r="F172" s="2">
        <v>26243</v>
      </c>
      <c r="G172" s="2">
        <v>243246</v>
      </c>
      <c r="H172" s="2">
        <v>14660</v>
      </c>
      <c r="I172" s="2">
        <v>56200</v>
      </c>
      <c r="J172" s="2">
        <v>30550</v>
      </c>
      <c r="K172" s="2">
        <v>255304</v>
      </c>
      <c r="L172" s="2">
        <v>15002</v>
      </c>
      <c r="M172" s="2">
        <v>56367</v>
      </c>
      <c r="N172" s="2">
        <v>30662</v>
      </c>
    </row>
    <row r="173" spans="2:14" x14ac:dyDescent="0.3">
      <c r="B173" s="2" t="s">
        <v>15</v>
      </c>
      <c r="C173" s="2">
        <v>169047</v>
      </c>
      <c r="D173" s="2">
        <v>11141</v>
      </c>
      <c r="E173" s="2">
        <v>39802</v>
      </c>
      <c r="F173" s="2">
        <v>20049</v>
      </c>
      <c r="G173" s="2">
        <v>169047</v>
      </c>
      <c r="H173" s="2">
        <v>11141</v>
      </c>
      <c r="I173" s="2">
        <v>39803</v>
      </c>
      <c r="J173" s="2">
        <v>20049</v>
      </c>
      <c r="K173" s="2" t="s">
        <v>40</v>
      </c>
      <c r="L173" s="2" t="s">
        <v>40</v>
      </c>
      <c r="M173" s="2" t="s">
        <v>40</v>
      </c>
      <c r="N173" s="2"/>
    </row>
    <row r="174" spans="2:14" x14ac:dyDescent="0.3">
      <c r="B174" s="2" t="s">
        <v>16</v>
      </c>
      <c r="C174" s="2">
        <v>262224</v>
      </c>
      <c r="D174" s="2">
        <v>18113</v>
      </c>
      <c r="E174" s="2">
        <v>46577</v>
      </c>
      <c r="F174" s="2">
        <v>29114</v>
      </c>
      <c r="G174" s="2">
        <v>262944</v>
      </c>
      <c r="H174" s="2">
        <v>17425</v>
      </c>
      <c r="I174" s="2">
        <v>47265</v>
      </c>
      <c r="J174" s="2">
        <v>30884</v>
      </c>
      <c r="K174" s="2">
        <v>267980</v>
      </c>
      <c r="L174" s="2">
        <v>17122</v>
      </c>
      <c r="M174" s="2">
        <v>56553</v>
      </c>
      <c r="N174" s="2">
        <v>30894</v>
      </c>
    </row>
    <row r="175" spans="2:14" x14ac:dyDescent="0.3">
      <c r="B175" s="2" t="s">
        <v>17</v>
      </c>
      <c r="C175" s="2">
        <v>206616</v>
      </c>
      <c r="D175" s="2">
        <v>25947</v>
      </c>
      <c r="E175" s="2">
        <v>49936</v>
      </c>
      <c r="F175" s="2">
        <v>20926</v>
      </c>
      <c r="G175" s="2">
        <v>210321</v>
      </c>
      <c r="H175" s="2">
        <v>27086</v>
      </c>
      <c r="I175" s="2">
        <v>50827</v>
      </c>
      <c r="J175" s="2">
        <v>27819</v>
      </c>
      <c r="K175" s="2">
        <v>227906</v>
      </c>
      <c r="L175" s="2">
        <v>15508</v>
      </c>
      <c r="M175" s="2">
        <v>51144</v>
      </c>
      <c r="N175" s="2">
        <v>30580</v>
      </c>
    </row>
    <row r="207" spans="2:11" x14ac:dyDescent="0.3">
      <c r="B207" s="1" t="s">
        <v>0</v>
      </c>
      <c r="C207" s="1" t="s">
        <v>50</v>
      </c>
      <c r="D207" s="1" t="s">
        <v>51</v>
      </c>
      <c r="E207" s="1" t="s">
        <v>52</v>
      </c>
      <c r="F207" s="1" t="s">
        <v>53</v>
      </c>
      <c r="G207" s="1" t="s">
        <v>54</v>
      </c>
      <c r="H207" s="1" t="s">
        <v>55</v>
      </c>
      <c r="I207" s="1" t="s">
        <v>56</v>
      </c>
      <c r="J207" s="1" t="s">
        <v>57</v>
      </c>
      <c r="K207" s="1" t="s">
        <v>58</v>
      </c>
    </row>
    <row r="208" spans="2:11" x14ac:dyDescent="0.3">
      <c r="B208" s="1" t="s">
        <v>1</v>
      </c>
      <c r="C208" s="1">
        <v>12</v>
      </c>
      <c r="D208" s="1">
        <v>1</v>
      </c>
      <c r="E208" s="1">
        <v>1</v>
      </c>
      <c r="F208" s="1" t="s">
        <v>40</v>
      </c>
      <c r="G208" s="1">
        <v>1</v>
      </c>
      <c r="H208" s="1" t="s">
        <v>40</v>
      </c>
      <c r="I208" s="1" t="s">
        <v>40</v>
      </c>
      <c r="J208" s="1" t="s">
        <v>40</v>
      </c>
      <c r="K208" s="1" t="s">
        <v>40</v>
      </c>
    </row>
    <row r="209" spans="2:11" x14ac:dyDescent="0.3">
      <c r="B209" s="1" t="s">
        <v>2</v>
      </c>
      <c r="C209" s="1">
        <v>10</v>
      </c>
      <c r="D209" s="1" t="s">
        <v>40</v>
      </c>
      <c r="E209" s="1" t="s">
        <v>40</v>
      </c>
      <c r="F209" s="1" t="s">
        <v>40</v>
      </c>
      <c r="G209" s="1" t="s">
        <v>40</v>
      </c>
      <c r="H209" s="1" t="s">
        <v>40</v>
      </c>
      <c r="I209" s="1" t="s">
        <v>40</v>
      </c>
      <c r="J209" s="1" t="s">
        <v>40</v>
      </c>
      <c r="K209" s="1" t="s">
        <v>40</v>
      </c>
    </row>
    <row r="210" spans="2:11" x14ac:dyDescent="0.3">
      <c r="B210" s="1" t="s">
        <v>3</v>
      </c>
      <c r="C210" s="1">
        <v>22</v>
      </c>
      <c r="D210" s="1">
        <v>1</v>
      </c>
      <c r="E210" s="1" t="s">
        <v>40</v>
      </c>
      <c r="F210" s="1" t="s">
        <v>40</v>
      </c>
      <c r="G210" s="1" t="s">
        <v>40</v>
      </c>
      <c r="H210" s="1" t="s">
        <v>40</v>
      </c>
      <c r="I210" s="1" t="s">
        <v>40</v>
      </c>
      <c r="J210" s="1" t="s">
        <v>40</v>
      </c>
      <c r="K210" s="1" t="s">
        <v>40</v>
      </c>
    </row>
    <row r="211" spans="2:11" x14ac:dyDescent="0.3">
      <c r="B211" s="1" t="s">
        <v>4</v>
      </c>
      <c r="C211" s="1">
        <v>65</v>
      </c>
      <c r="D211" s="1">
        <v>4</v>
      </c>
      <c r="E211" s="1" t="s">
        <v>40</v>
      </c>
      <c r="F211" s="1" t="s">
        <v>40</v>
      </c>
      <c r="G211" s="1" t="s">
        <v>40</v>
      </c>
      <c r="H211" s="1" t="s">
        <v>40</v>
      </c>
      <c r="I211" s="1" t="s">
        <v>40</v>
      </c>
      <c r="J211" s="1" t="s">
        <v>40</v>
      </c>
      <c r="K211" s="1" t="s">
        <v>40</v>
      </c>
    </row>
    <row r="212" spans="2:11" x14ac:dyDescent="0.3">
      <c r="B212" s="1" t="s">
        <v>5</v>
      </c>
      <c r="C212" s="1">
        <v>8</v>
      </c>
      <c r="D212" s="1" t="s">
        <v>40</v>
      </c>
      <c r="E212" s="1">
        <v>1</v>
      </c>
      <c r="F212" s="1" t="s">
        <v>40</v>
      </c>
      <c r="G212" s="1" t="s">
        <v>40</v>
      </c>
      <c r="H212" s="1" t="s">
        <v>40</v>
      </c>
      <c r="I212" s="1" t="s">
        <v>40</v>
      </c>
      <c r="J212" s="1" t="s">
        <v>40</v>
      </c>
      <c r="K212" s="1" t="s">
        <v>40</v>
      </c>
    </row>
    <row r="213" spans="2:11" x14ac:dyDescent="0.3">
      <c r="B213" s="1" t="s">
        <v>6</v>
      </c>
      <c r="C213" s="1">
        <v>11</v>
      </c>
      <c r="D213" s="1">
        <v>2</v>
      </c>
      <c r="E213" s="1" t="s">
        <v>40</v>
      </c>
      <c r="F213" s="1" t="s">
        <v>40</v>
      </c>
      <c r="G213" s="1" t="s">
        <v>40</v>
      </c>
      <c r="H213" s="1" t="s">
        <v>40</v>
      </c>
      <c r="I213" s="1" t="s">
        <v>40</v>
      </c>
      <c r="J213" s="1">
        <v>1</v>
      </c>
      <c r="K213" s="1" t="s">
        <v>40</v>
      </c>
    </row>
    <row r="214" spans="2:11" x14ac:dyDescent="0.3">
      <c r="B214" s="1" t="s">
        <v>7</v>
      </c>
      <c r="C214" s="1">
        <v>22</v>
      </c>
      <c r="D214" s="1">
        <v>3</v>
      </c>
      <c r="E214" s="1">
        <v>1</v>
      </c>
      <c r="F214" s="1" t="s">
        <v>40</v>
      </c>
      <c r="G214" s="1" t="s">
        <v>40</v>
      </c>
      <c r="H214" s="1" t="s">
        <v>40</v>
      </c>
      <c r="I214" s="1" t="s">
        <v>40</v>
      </c>
      <c r="J214" s="1" t="s">
        <v>40</v>
      </c>
      <c r="K214" s="1" t="s">
        <v>40</v>
      </c>
    </row>
    <row r="215" spans="2:11" x14ac:dyDescent="0.3">
      <c r="B215" s="1" t="s">
        <v>8</v>
      </c>
      <c r="C215" s="1">
        <v>16</v>
      </c>
      <c r="D215" s="1">
        <v>1</v>
      </c>
      <c r="E215" s="1">
        <v>1</v>
      </c>
      <c r="F215" s="1" t="s">
        <v>40</v>
      </c>
      <c r="G215" s="1" t="s">
        <v>40</v>
      </c>
      <c r="H215" s="1" t="s">
        <v>40</v>
      </c>
      <c r="I215" s="1" t="s">
        <v>40</v>
      </c>
      <c r="J215" s="1" t="s">
        <v>40</v>
      </c>
      <c r="K215" s="1" t="s">
        <v>40</v>
      </c>
    </row>
    <row r="216" spans="2:11" x14ac:dyDescent="0.3">
      <c r="B216" s="1" t="s">
        <v>9</v>
      </c>
      <c r="C216" s="1">
        <v>9</v>
      </c>
      <c r="D216" s="1">
        <v>1</v>
      </c>
      <c r="E216" s="1">
        <v>1</v>
      </c>
      <c r="F216" s="1">
        <v>3</v>
      </c>
      <c r="G216" s="1">
        <v>1</v>
      </c>
      <c r="H216" s="1">
        <v>2</v>
      </c>
      <c r="I216" s="1" t="s">
        <v>40</v>
      </c>
      <c r="J216" s="1">
        <v>2</v>
      </c>
      <c r="K216" s="1">
        <v>1</v>
      </c>
    </row>
    <row r="217" spans="2:11" x14ac:dyDescent="0.3">
      <c r="B217" s="1" t="s">
        <v>10</v>
      </c>
      <c r="C217" s="1">
        <v>5</v>
      </c>
      <c r="D217" s="1">
        <v>1</v>
      </c>
      <c r="E217" s="1" t="s">
        <v>40</v>
      </c>
      <c r="F217" s="1" t="s">
        <v>40</v>
      </c>
      <c r="G217" s="1" t="s">
        <v>40</v>
      </c>
      <c r="H217" s="1" t="s">
        <v>40</v>
      </c>
      <c r="I217" s="1" t="s">
        <v>40</v>
      </c>
      <c r="J217" s="1" t="s">
        <v>40</v>
      </c>
      <c r="K217" s="1" t="s">
        <v>40</v>
      </c>
    </row>
    <row r="218" spans="2:11" x14ac:dyDescent="0.3">
      <c r="B218" s="1" t="s">
        <v>11</v>
      </c>
      <c r="C218" s="1">
        <v>31</v>
      </c>
      <c r="D218" s="1">
        <v>2</v>
      </c>
      <c r="E218" s="1" t="s">
        <v>40</v>
      </c>
      <c r="F218" s="1" t="s">
        <v>40</v>
      </c>
      <c r="G218" s="1" t="s">
        <v>40</v>
      </c>
      <c r="H218" s="1" t="s">
        <v>40</v>
      </c>
      <c r="I218" s="1" t="s">
        <v>40</v>
      </c>
      <c r="J218" s="1">
        <v>1</v>
      </c>
      <c r="K218" s="1" t="s">
        <v>40</v>
      </c>
    </row>
    <row r="219" spans="2:11" x14ac:dyDescent="0.3">
      <c r="B219" s="1" t="s">
        <v>12</v>
      </c>
      <c r="C219" s="1">
        <v>13</v>
      </c>
      <c r="D219" s="1">
        <v>1</v>
      </c>
      <c r="E219" s="1" t="s">
        <v>40</v>
      </c>
      <c r="F219" s="1" t="s">
        <v>40</v>
      </c>
      <c r="G219" s="1" t="s">
        <v>40</v>
      </c>
      <c r="H219" s="1" t="s">
        <v>40</v>
      </c>
      <c r="I219" s="1" t="s">
        <v>40</v>
      </c>
      <c r="J219" s="1" t="s">
        <v>40</v>
      </c>
      <c r="K219" s="1" t="s">
        <v>40</v>
      </c>
    </row>
    <row r="220" spans="2:11" x14ac:dyDescent="0.3">
      <c r="B220" s="1" t="s">
        <v>13</v>
      </c>
      <c r="C220" s="1">
        <v>13</v>
      </c>
      <c r="D220" s="1">
        <v>1</v>
      </c>
      <c r="E220" s="1" t="s">
        <v>40</v>
      </c>
      <c r="F220" s="1" t="s">
        <v>40</v>
      </c>
      <c r="G220" s="1" t="s">
        <v>40</v>
      </c>
      <c r="H220" s="1" t="s">
        <v>40</v>
      </c>
      <c r="I220" s="1" t="s">
        <v>40</v>
      </c>
      <c r="J220" s="1" t="s">
        <v>40</v>
      </c>
      <c r="K220" s="1" t="s">
        <v>40</v>
      </c>
    </row>
    <row r="221" spans="2:11" x14ac:dyDescent="0.3">
      <c r="B221" s="1" t="s">
        <v>14</v>
      </c>
      <c r="C221" s="1">
        <v>10</v>
      </c>
      <c r="D221" s="1">
        <v>1</v>
      </c>
      <c r="E221" s="1" t="s">
        <v>40</v>
      </c>
      <c r="F221" s="1">
        <v>1</v>
      </c>
      <c r="G221" s="1" t="s">
        <v>40</v>
      </c>
      <c r="H221" s="1" t="s">
        <v>40</v>
      </c>
      <c r="I221" s="1">
        <v>1</v>
      </c>
      <c r="J221" s="1" t="s">
        <v>40</v>
      </c>
      <c r="K221" s="1" t="s">
        <v>40</v>
      </c>
    </row>
    <row r="222" spans="2:11" x14ac:dyDescent="0.3">
      <c r="B222" s="1" t="s">
        <v>15</v>
      </c>
      <c r="C222" s="1">
        <v>32</v>
      </c>
      <c r="D222" s="1">
        <v>5</v>
      </c>
      <c r="E222" s="1" t="s">
        <v>40</v>
      </c>
      <c r="F222" s="1" t="s">
        <v>40</v>
      </c>
      <c r="G222" s="1" t="s">
        <v>40</v>
      </c>
      <c r="H222" s="1" t="s">
        <v>40</v>
      </c>
      <c r="I222" s="1" t="s">
        <v>40</v>
      </c>
      <c r="J222" s="1" t="s">
        <v>40</v>
      </c>
      <c r="K222" s="1" t="s">
        <v>40</v>
      </c>
    </row>
    <row r="223" spans="2:11" x14ac:dyDescent="0.3">
      <c r="B223" s="1" t="s">
        <v>16</v>
      </c>
      <c r="C223" s="1">
        <v>21</v>
      </c>
      <c r="D223" s="1">
        <v>1</v>
      </c>
      <c r="E223" s="1" t="s">
        <v>40</v>
      </c>
      <c r="F223" s="1" t="s">
        <v>40</v>
      </c>
      <c r="G223" s="1" t="s">
        <v>40</v>
      </c>
      <c r="H223" s="1" t="s">
        <v>40</v>
      </c>
      <c r="I223" s="1" t="s">
        <v>40</v>
      </c>
      <c r="J223" s="1" t="s">
        <v>40</v>
      </c>
      <c r="K223" s="1" t="s">
        <v>40</v>
      </c>
    </row>
    <row r="224" spans="2:11" x14ac:dyDescent="0.3">
      <c r="B224" s="1" t="s">
        <v>17</v>
      </c>
      <c r="C224" s="1">
        <v>7</v>
      </c>
      <c r="D224" s="1" t="s">
        <v>40</v>
      </c>
      <c r="E224" s="1" t="s">
        <v>40</v>
      </c>
      <c r="F224" s="1" t="s">
        <v>40</v>
      </c>
      <c r="G224" s="1" t="s">
        <v>40</v>
      </c>
      <c r="H224" s="1" t="s">
        <v>40</v>
      </c>
      <c r="I224" s="1" t="s">
        <v>40</v>
      </c>
      <c r="J224" s="1" t="s">
        <v>40</v>
      </c>
      <c r="K224" s="1" t="s">
        <v>40</v>
      </c>
    </row>
    <row r="232" spans="3:16" x14ac:dyDescent="0.3">
      <c r="C232" s="10"/>
      <c r="D232" s="2"/>
      <c r="E232" s="14">
        <v>1985</v>
      </c>
      <c r="F232" s="14"/>
      <c r="G232" s="14">
        <v>1986</v>
      </c>
      <c r="H232" s="14"/>
      <c r="I232" s="14">
        <v>1987</v>
      </c>
      <c r="J232" s="14"/>
      <c r="K232" s="14">
        <v>1988</v>
      </c>
      <c r="L232" s="14"/>
      <c r="M232" s="14">
        <v>1989</v>
      </c>
      <c r="N232" s="14"/>
      <c r="O232" s="14">
        <v>1990</v>
      </c>
      <c r="P232" s="14"/>
    </row>
    <row r="233" spans="3:16" x14ac:dyDescent="0.3">
      <c r="C233" s="8"/>
      <c r="D233" s="2" t="s">
        <v>44</v>
      </c>
      <c r="E233" s="2" t="s">
        <v>47</v>
      </c>
      <c r="F233" s="2" t="s">
        <v>48</v>
      </c>
      <c r="G233" s="2" t="s">
        <v>47</v>
      </c>
      <c r="H233" s="2" t="s">
        <v>48</v>
      </c>
      <c r="I233" s="2" t="s">
        <v>47</v>
      </c>
      <c r="J233" s="2" t="s">
        <v>48</v>
      </c>
      <c r="K233" s="2" t="s">
        <v>47</v>
      </c>
      <c r="L233" s="2" t="s">
        <v>48</v>
      </c>
      <c r="M233" s="2" t="s">
        <v>47</v>
      </c>
      <c r="N233" s="2" t="s">
        <v>48</v>
      </c>
      <c r="O233" s="2" t="s">
        <v>47</v>
      </c>
      <c r="P233" s="2" t="s">
        <v>48</v>
      </c>
    </row>
    <row r="234" spans="3:16" x14ac:dyDescent="0.3">
      <c r="C234" s="8"/>
      <c r="D234" s="2" t="s">
        <v>59</v>
      </c>
      <c r="E234" s="2">
        <v>6656</v>
      </c>
      <c r="F234" s="2">
        <v>4450</v>
      </c>
      <c r="G234" s="2">
        <v>7859</v>
      </c>
      <c r="H234" s="2">
        <v>4952</v>
      </c>
      <c r="I234" s="2">
        <v>7455</v>
      </c>
      <c r="J234" s="2">
        <v>4621</v>
      </c>
      <c r="K234" s="2">
        <v>7930</v>
      </c>
      <c r="L234" s="2">
        <v>5072</v>
      </c>
      <c r="M234" s="2">
        <v>7816</v>
      </c>
      <c r="N234" s="2">
        <v>2729</v>
      </c>
      <c r="O234" s="2">
        <v>7933</v>
      </c>
      <c r="P234" s="2">
        <v>6155</v>
      </c>
    </row>
    <row r="235" spans="3:16" x14ac:dyDescent="0.3">
      <c r="C235" s="8"/>
      <c r="D235" s="2" t="s">
        <v>60</v>
      </c>
      <c r="E235" s="2">
        <v>4997</v>
      </c>
      <c r="F235" s="2">
        <v>2601</v>
      </c>
      <c r="G235" s="2">
        <v>5459</v>
      </c>
      <c r="H235" s="2">
        <v>2595</v>
      </c>
      <c r="I235" s="2">
        <v>5788</v>
      </c>
      <c r="J235" s="2">
        <v>2885</v>
      </c>
      <c r="K235" s="2">
        <v>5093</v>
      </c>
      <c r="L235" s="2">
        <v>3142</v>
      </c>
      <c r="M235" s="2">
        <v>5354</v>
      </c>
      <c r="N235" s="2">
        <v>1098</v>
      </c>
      <c r="O235" s="2">
        <v>5675</v>
      </c>
      <c r="P235" s="2">
        <v>3044</v>
      </c>
    </row>
    <row r="236" spans="3:16" x14ac:dyDescent="0.3">
      <c r="D236" s="2" t="s">
        <v>61</v>
      </c>
      <c r="E236" s="2">
        <v>7078</v>
      </c>
      <c r="F236" s="2">
        <v>4344</v>
      </c>
      <c r="G236" s="2">
        <v>7225</v>
      </c>
      <c r="H236" s="2">
        <v>5272</v>
      </c>
      <c r="I236" s="2">
        <v>8250</v>
      </c>
      <c r="J236" s="2">
        <v>5347</v>
      </c>
      <c r="K236" s="2">
        <v>7787</v>
      </c>
      <c r="L236" s="2">
        <v>4452</v>
      </c>
      <c r="M236" s="2">
        <v>8940</v>
      </c>
      <c r="N236" s="2">
        <v>6051</v>
      </c>
      <c r="O236" s="2">
        <v>9836</v>
      </c>
      <c r="P236" s="2">
        <v>7341</v>
      </c>
    </row>
    <row r="237" spans="3:16" x14ac:dyDescent="0.3">
      <c r="D237" s="2" t="s">
        <v>62</v>
      </c>
      <c r="E237" s="2">
        <v>4177</v>
      </c>
      <c r="F237" s="2">
        <v>2918</v>
      </c>
      <c r="G237" s="2">
        <v>4863</v>
      </c>
      <c r="H237" s="2">
        <v>3472</v>
      </c>
      <c r="I237" s="2">
        <v>5361</v>
      </c>
      <c r="J237" s="2">
        <v>3680</v>
      </c>
      <c r="K237" s="2">
        <v>5848</v>
      </c>
      <c r="L237" s="2">
        <v>4128</v>
      </c>
      <c r="M237" s="2">
        <v>5727</v>
      </c>
      <c r="N237" s="2">
        <v>4131</v>
      </c>
      <c r="O237" s="2">
        <v>5502</v>
      </c>
      <c r="P237" s="2">
        <v>4242</v>
      </c>
    </row>
    <row r="238" spans="3:16" x14ac:dyDescent="0.3">
      <c r="D238" s="2" t="s">
        <v>63</v>
      </c>
      <c r="E238" s="2">
        <v>3297</v>
      </c>
      <c r="F238" s="2">
        <v>2788</v>
      </c>
      <c r="G238" s="2">
        <v>2975</v>
      </c>
      <c r="H238" s="2">
        <v>2550</v>
      </c>
      <c r="I238" s="2">
        <v>2712</v>
      </c>
      <c r="J238" s="2">
        <v>2483</v>
      </c>
      <c r="K238" s="2">
        <v>3233</v>
      </c>
      <c r="L238" s="2">
        <v>2908</v>
      </c>
      <c r="M238" s="2">
        <v>3617</v>
      </c>
      <c r="N238" s="2">
        <v>3227</v>
      </c>
      <c r="O238" s="2">
        <v>2901</v>
      </c>
      <c r="P238" s="2">
        <v>2608</v>
      </c>
    </row>
    <row r="239" spans="3:16" x14ac:dyDescent="0.3">
      <c r="D239" s="2" t="s">
        <v>64</v>
      </c>
      <c r="E239" s="2">
        <v>3788</v>
      </c>
      <c r="F239" s="2">
        <v>2063</v>
      </c>
      <c r="G239" s="2">
        <v>34416</v>
      </c>
      <c r="H239" s="2">
        <v>2691</v>
      </c>
      <c r="I239" s="2">
        <v>4502</v>
      </c>
      <c r="J239" s="2">
        <v>2983</v>
      </c>
      <c r="K239" s="2">
        <v>5644</v>
      </c>
      <c r="L239" s="2">
        <v>3647</v>
      </c>
      <c r="M239" s="2">
        <v>5256</v>
      </c>
      <c r="N239" s="2">
        <v>3848</v>
      </c>
      <c r="O239" s="2">
        <v>5074</v>
      </c>
      <c r="P239" s="2">
        <v>3549</v>
      </c>
    </row>
    <row r="240" spans="3:16" x14ac:dyDescent="0.3">
      <c r="D240" s="2" t="s">
        <v>65</v>
      </c>
      <c r="E240" s="2">
        <v>34460</v>
      </c>
      <c r="F240" s="2">
        <v>18051</v>
      </c>
      <c r="G240" s="2">
        <v>33793</v>
      </c>
      <c r="H240" s="2">
        <v>16608</v>
      </c>
      <c r="I240" s="2">
        <v>36294</v>
      </c>
      <c r="J240" s="2">
        <v>16110</v>
      </c>
      <c r="K240" s="2">
        <v>28818</v>
      </c>
      <c r="L240" s="2">
        <v>13799</v>
      </c>
      <c r="M240" s="2">
        <v>31330</v>
      </c>
      <c r="N240" s="2">
        <v>14164</v>
      </c>
      <c r="O240" s="2">
        <v>34302</v>
      </c>
      <c r="P240" s="2">
        <v>15925</v>
      </c>
    </row>
    <row r="241" spans="4:16" x14ac:dyDescent="0.3">
      <c r="D241" s="2" t="s">
        <v>66</v>
      </c>
      <c r="E241" s="2">
        <v>16395</v>
      </c>
      <c r="F241" s="2">
        <v>8574</v>
      </c>
      <c r="G241" s="2" t="s">
        <v>40</v>
      </c>
      <c r="H241" s="2" t="s">
        <v>40</v>
      </c>
      <c r="I241" s="2">
        <v>15454</v>
      </c>
      <c r="J241" s="2">
        <v>6928</v>
      </c>
      <c r="K241" s="2">
        <v>19772</v>
      </c>
      <c r="L241" s="2">
        <v>6728</v>
      </c>
      <c r="M241" s="2">
        <v>13219</v>
      </c>
      <c r="N241" s="2">
        <v>6335</v>
      </c>
      <c r="O241" s="2">
        <v>11757</v>
      </c>
      <c r="P241" s="2">
        <v>5691</v>
      </c>
    </row>
    <row r="242" spans="4:16" x14ac:dyDescent="0.3">
      <c r="D242" s="2" t="s">
        <v>67</v>
      </c>
      <c r="E242" s="2">
        <v>28829</v>
      </c>
      <c r="F242" s="2">
        <v>6947</v>
      </c>
      <c r="G242" s="2">
        <v>32495</v>
      </c>
      <c r="H242" s="2">
        <v>14888</v>
      </c>
      <c r="I242" s="2">
        <v>29001</v>
      </c>
      <c r="J242" s="2">
        <v>6533</v>
      </c>
      <c r="K242" s="2">
        <v>25053</v>
      </c>
      <c r="L242" s="2">
        <v>7999</v>
      </c>
      <c r="M242" s="2">
        <v>24932</v>
      </c>
      <c r="N242" s="2">
        <v>6026</v>
      </c>
      <c r="O242" s="2">
        <v>25707</v>
      </c>
      <c r="P242" s="2">
        <v>7211</v>
      </c>
    </row>
    <row r="243" spans="4:16" x14ac:dyDescent="0.3">
      <c r="D243" s="2"/>
    </row>
    <row r="244" spans="4:16" x14ac:dyDescent="0.3">
      <c r="D244" s="2" t="s">
        <v>44</v>
      </c>
    </row>
    <row r="245" spans="4:16" x14ac:dyDescent="0.3">
      <c r="D245" s="2" t="s">
        <v>59</v>
      </c>
    </row>
    <row r="246" spans="4:16" x14ac:dyDescent="0.3">
      <c r="D246" s="2" t="s">
        <v>60</v>
      </c>
    </row>
    <row r="247" spans="4:16" x14ac:dyDescent="0.3">
      <c r="D247" s="2" t="s">
        <v>61</v>
      </c>
    </row>
    <row r="248" spans="4:16" x14ac:dyDescent="0.3">
      <c r="D248" s="2" t="s">
        <v>62</v>
      </c>
    </row>
    <row r="249" spans="4:16" x14ac:dyDescent="0.3">
      <c r="D249" s="2" t="s">
        <v>63</v>
      </c>
    </row>
    <row r="250" spans="4:16" x14ac:dyDescent="0.3">
      <c r="D250" s="2" t="s">
        <v>64</v>
      </c>
    </row>
    <row r="251" spans="4:16" x14ac:dyDescent="0.3">
      <c r="D251" s="2" t="s">
        <v>65</v>
      </c>
    </row>
    <row r="252" spans="4:16" x14ac:dyDescent="0.3">
      <c r="D252" s="2" t="s">
        <v>66</v>
      </c>
    </row>
    <row r="253" spans="4:16" x14ac:dyDescent="0.3">
      <c r="D253" s="2" t="s">
        <v>67</v>
      </c>
    </row>
  </sheetData>
  <sortState xmlns:xlrd2="http://schemas.microsoft.com/office/spreadsheetml/2017/richdata2" ref="B100:B108">
    <sortCondition ref="B100:B108"/>
  </sortState>
  <mergeCells count="33">
    <mergeCell ref="X94:Y94"/>
    <mergeCell ref="K71:N71"/>
    <mergeCell ref="G10:G11"/>
    <mergeCell ref="H10:H11"/>
    <mergeCell ref="D10:D11"/>
    <mergeCell ref="C71:F71"/>
    <mergeCell ref="G71:J71"/>
    <mergeCell ref="P10:P11"/>
    <mergeCell ref="Q10:Q11"/>
    <mergeCell ref="O232:P232"/>
    <mergeCell ref="C10:C11"/>
    <mergeCell ref="C1:D1"/>
    <mergeCell ref="E1:F1"/>
    <mergeCell ref="V94:W94"/>
    <mergeCell ref="G1:H1"/>
    <mergeCell ref="B126:C126"/>
    <mergeCell ref="D126:E126"/>
    <mergeCell ref="F126:G126"/>
    <mergeCell ref="H126:I126"/>
    <mergeCell ref="R126:S126"/>
    <mergeCell ref="J126:K126"/>
    <mergeCell ref="L126:M126"/>
    <mergeCell ref="N126:O126"/>
    <mergeCell ref="P126:Q126"/>
    <mergeCell ref="K156:N156"/>
    <mergeCell ref="K232:L232"/>
    <mergeCell ref="M232:N232"/>
    <mergeCell ref="I1:J1"/>
    <mergeCell ref="C156:F156"/>
    <mergeCell ref="G156:J156"/>
    <mergeCell ref="E232:F232"/>
    <mergeCell ref="G232:H232"/>
    <mergeCell ref="I232:J232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DEY</dc:creator>
  <cp:lastModifiedBy>SOURAV DEY</cp:lastModifiedBy>
  <dcterms:created xsi:type="dcterms:W3CDTF">2024-02-12T05:55:58Z</dcterms:created>
  <dcterms:modified xsi:type="dcterms:W3CDTF">2024-02-26T14:33:27Z</dcterms:modified>
</cp:coreProperties>
</file>